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ame\Downloads\"/>
    </mc:Choice>
  </mc:AlternateContent>
  <xr:revisionPtr revIDLastSave="0" documentId="13_ncr:1_{80FE0775-677E-4FA5-BADA-A3F2C5187980}" xr6:coauthVersionLast="47" xr6:coauthVersionMax="47" xr10:uidLastSave="{00000000-0000-0000-0000-000000000000}"/>
  <bookViews>
    <workbookView xWindow="-120" yWindow="-120" windowWidth="29040" windowHeight="15840" xr2:uid="{26D4546B-D2A1-4444-8EAF-A6228F96F0C1}"/>
  </bookViews>
  <sheets>
    <sheet name="Calendar" sheetId="1" r:id="rId1"/>
    <sheet name="Any Month" sheetId="5" r:id="rId2"/>
    <sheet name="Planner" sheetId="3" r:id="rId3"/>
    <sheet name="Customizations" sheetId="4" r:id="rId4"/>
    <sheet name="Calc" sheetId="2" state="hidden" r:id="rId5"/>
  </sheets>
  <definedNames>
    <definedName name="_xlnm._FilterDatabase" localSheetId="3" hidden="1">Customizations!$J$4:$K$15</definedName>
    <definedName name="cal.year">Customizations!$C$4</definedName>
    <definedName name="holiday_dates">holidays[Date]</definedName>
    <definedName name="icon_types">icons[Type]</definedName>
    <definedName name="month.nums">Calc!$C$13:$C$84</definedName>
    <definedName name="monthly.calendar">Calc!$D$13:$J$84</definedName>
    <definedName name="months.list">_xlfn.ANCHORARRAY(Calc!$V$13)</definedName>
    <definedName name="planner_dates">Plan[Date]</definedName>
    <definedName name="_xlnm.Print_Area" localSheetId="1">'Any Month'!$B$1:$J$19</definedName>
    <definedName name="_xlnm.Print_Area" localSheetId="0">Calendar!$B$1:$AK$33</definedName>
    <definedName name="show.planner">Customizations!$C$7</definedName>
    <definedName name="week.start">Customizations!$C$5</definedName>
    <definedName name="weekend.type">Customizations!$C$6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0" i="2" l="1"/>
  <c r="Z13" i="2" s="1" a="1"/>
  <c r="V13" i="2" a="1"/>
  <c r="V13" i="2" s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R37" i="2"/>
  <c r="AI30" i="1" s="1"/>
  <c r="S37" i="2"/>
  <c r="R23" i="2"/>
  <c r="AI16" i="1" s="1"/>
  <c r="S23" i="2"/>
  <c r="R24" i="2"/>
  <c r="AI17" i="1" s="1"/>
  <c r="S24" i="2"/>
  <c r="R25" i="2"/>
  <c r="AI18" i="1" s="1"/>
  <c r="S25" i="2"/>
  <c r="R26" i="2"/>
  <c r="AI19" i="1" s="1"/>
  <c r="S26" i="2"/>
  <c r="R27" i="2"/>
  <c r="AI20" i="1" s="1"/>
  <c r="S27" i="2"/>
  <c r="R28" i="2"/>
  <c r="AI21" i="1" s="1"/>
  <c r="S28" i="2"/>
  <c r="R29" i="2"/>
  <c r="AI22" i="1" s="1"/>
  <c r="S29" i="2"/>
  <c r="R30" i="2"/>
  <c r="AI23" i="1" s="1"/>
  <c r="S30" i="2"/>
  <c r="R31" i="2"/>
  <c r="AI24" i="1" s="1"/>
  <c r="S31" i="2"/>
  <c r="R32" i="2"/>
  <c r="AI25" i="1" s="1"/>
  <c r="S32" i="2"/>
  <c r="R33" i="2"/>
  <c r="AI26" i="1" s="1"/>
  <c r="S33" i="2"/>
  <c r="R34" i="2"/>
  <c r="AI27" i="1" s="1"/>
  <c r="S34" i="2"/>
  <c r="R35" i="2"/>
  <c r="AI28" i="1" s="1"/>
  <c r="S35" i="2"/>
  <c r="R36" i="2"/>
  <c r="AI29" i="1" s="1"/>
  <c r="S36" i="2"/>
  <c r="S21" i="2"/>
  <c r="S22" i="2"/>
  <c r="R21" i="2"/>
  <c r="AI14" i="1" s="1"/>
  <c r="R22" i="2"/>
  <c r="AI15" i="1" s="1"/>
  <c r="O8" i="2"/>
  <c r="N13" i="2" s="1" a="1"/>
  <c r="N13" i="2" s="1"/>
  <c r="S13" i="2" s="1"/>
  <c r="AJ6" i="1" s="1"/>
  <c r="C4" i="1"/>
  <c r="D79" i="2" a="1"/>
  <c r="D79" i="2" s="1"/>
  <c r="AA26" i="1" s="1" a="1"/>
  <c r="AG25" i="1" s="1"/>
  <c r="D73" i="2" a="1"/>
  <c r="D73" i="2" s="1"/>
  <c r="S26" i="1" s="1" a="1"/>
  <c r="Y25" i="1" s="1"/>
  <c r="D67" i="2" a="1"/>
  <c r="D67" i="2" s="1"/>
  <c r="K26" i="1" s="1" a="1"/>
  <c r="L25" i="1" s="1"/>
  <c r="D61" i="2" a="1"/>
  <c r="D61" i="2" s="1"/>
  <c r="C26" i="1" s="1" a="1"/>
  <c r="D25" i="1" s="1"/>
  <c r="D55" i="2" a="1"/>
  <c r="D55" i="2" s="1"/>
  <c r="AA17" i="1" s="1" a="1"/>
  <c r="AG16" i="1" s="1"/>
  <c r="D49" i="2" a="1"/>
  <c r="D49" i="2" s="1"/>
  <c r="S17" i="1" s="1" a="1"/>
  <c r="T16" i="1" s="1"/>
  <c r="D43" i="2" a="1"/>
  <c r="D43" i="2" s="1"/>
  <c r="K17" i="1" s="1" a="1"/>
  <c r="K17" i="1" s="1"/>
  <c r="D37" i="2" a="1"/>
  <c r="D37" i="2" s="1"/>
  <c r="C17" i="1" s="1" a="1"/>
  <c r="C17" i="1" s="1"/>
  <c r="D31" i="2" a="1"/>
  <c r="D31" i="2" s="1"/>
  <c r="AA8" i="1" s="1" a="1"/>
  <c r="AA8" i="1" s="1"/>
  <c r="D25" i="2" a="1"/>
  <c r="D25" i="2" s="1"/>
  <c r="S8" i="1" s="1" a="1"/>
  <c r="T7" i="1" s="1"/>
  <c r="D19" i="2" a="1"/>
  <c r="D19" i="2" s="1"/>
  <c r="K8" i="1" s="1" a="1"/>
  <c r="K8" i="1" s="1"/>
  <c r="D13" i="2" a="1"/>
  <c r="D13" i="2" s="1"/>
  <c r="C8" i="1" s="1" a="1"/>
  <c r="C8" i="1" s="1"/>
  <c r="C79" i="2"/>
  <c r="C80" i="2"/>
  <c r="C81" i="2" s="1"/>
  <c r="C82" i="2" s="1"/>
  <c r="C83" i="2" s="1"/>
  <c r="C84" i="2" s="1"/>
  <c r="C61" i="2"/>
  <c r="C62" i="2"/>
  <c r="C63" i="2"/>
  <c r="C64" i="2"/>
  <c r="C65" i="2"/>
  <c r="C66" i="2" s="1"/>
  <c r="C67" i="2"/>
  <c r="C68" i="2"/>
  <c r="C69" i="2"/>
  <c r="C70" i="2"/>
  <c r="C71" i="2"/>
  <c r="C72" i="2" s="1"/>
  <c r="C73" i="2"/>
  <c r="C74" i="2"/>
  <c r="C75" i="2"/>
  <c r="C76" i="2"/>
  <c r="C77" i="2"/>
  <c r="C78" i="2" s="1"/>
  <c r="C25" i="2"/>
  <c r="C26" i="2"/>
  <c r="C27" i="2"/>
  <c r="C28" i="2" s="1"/>
  <c r="C29" i="2" s="1"/>
  <c r="C30" i="2" s="1"/>
  <c r="C31" i="2"/>
  <c r="C32" i="2"/>
  <c r="C33" i="2"/>
  <c r="C34" i="2" s="1"/>
  <c r="C35" i="2" s="1"/>
  <c r="C36" i="2" s="1"/>
  <c r="C37" i="2"/>
  <c r="C38" i="2"/>
  <c r="C39" i="2"/>
  <c r="C40" i="2" s="1"/>
  <c r="C41" i="2" s="1"/>
  <c r="C42" i="2" s="1"/>
  <c r="C43" i="2"/>
  <c r="C44" i="2"/>
  <c r="C45" i="2"/>
  <c r="C46" i="2" s="1"/>
  <c r="C47" i="2" s="1"/>
  <c r="C48" i="2" s="1"/>
  <c r="C49" i="2"/>
  <c r="C50" i="2"/>
  <c r="C51" i="2"/>
  <c r="C52" i="2" s="1"/>
  <c r="C53" i="2" s="1"/>
  <c r="C54" i="2" s="1"/>
  <c r="C55" i="2"/>
  <c r="C56" i="2"/>
  <c r="C57" i="2"/>
  <c r="C58" i="2" s="1"/>
  <c r="C59" i="2" s="1"/>
  <c r="C60" i="2" s="1"/>
  <c r="C20" i="2"/>
  <c r="C21" i="2" s="1"/>
  <c r="C22" i="2" s="1"/>
  <c r="C23" i="2" s="1"/>
  <c r="C24" i="2" s="1"/>
  <c r="C19" i="2"/>
  <c r="C15" i="2"/>
  <c r="C16" i="2"/>
  <c r="C17" i="2"/>
  <c r="C18" i="2"/>
  <c r="C14" i="2"/>
  <c r="E8" i="2"/>
  <c r="H8" i="2" s="1"/>
  <c r="Z13" i="2" l="1"/>
  <c r="I17" i="5"/>
  <c r="I15" i="5"/>
  <c r="I13" i="5"/>
  <c r="I11" i="5"/>
  <c r="I9" i="5"/>
  <c r="I7" i="5"/>
  <c r="C9" i="5"/>
  <c r="AE36" i="2" a="1"/>
  <c r="AE36" i="2" s="1"/>
  <c r="H18" i="5" s="1"/>
  <c r="AF35" i="2" a="1"/>
  <c r="AF35" i="2" s="1"/>
  <c r="I16" i="5" s="1"/>
  <c r="Z35" i="2" a="1"/>
  <c r="Z35" i="2" s="1"/>
  <c r="C16" i="5" s="1"/>
  <c r="AA34" i="2" a="1"/>
  <c r="AA34" i="2" s="1"/>
  <c r="D14" i="5" s="1"/>
  <c r="AB33" i="2" a="1"/>
  <c r="AB33" i="2" s="1"/>
  <c r="E12" i="5" s="1"/>
  <c r="AC32" i="2" a="1"/>
  <c r="AC32" i="2" s="1"/>
  <c r="F10" i="5" s="1"/>
  <c r="AD31" i="2" a="1"/>
  <c r="AD31" i="2" s="1"/>
  <c r="G8" i="5" s="1"/>
  <c r="H15" i="5"/>
  <c r="H13" i="5"/>
  <c r="H11" i="5"/>
  <c r="H9" i="5"/>
  <c r="H7" i="5"/>
  <c r="C11" i="5"/>
  <c r="AD36" i="2" a="1"/>
  <c r="AD36" i="2" s="1"/>
  <c r="G18" i="5" s="1"/>
  <c r="Z34" i="2" a="1"/>
  <c r="Z34" i="2" s="1"/>
  <c r="C14" i="5" s="1"/>
  <c r="AB32" i="2" a="1"/>
  <c r="AB32" i="2" s="1"/>
  <c r="E10" i="5" s="1"/>
  <c r="AD35" i="2" a="1"/>
  <c r="AD35" i="2" s="1"/>
  <c r="G16" i="5" s="1"/>
  <c r="AF33" i="2" a="1"/>
  <c r="AF33" i="2" s="1"/>
  <c r="I12" i="5" s="1"/>
  <c r="AA32" i="2" a="1"/>
  <c r="AA32" i="2" s="1"/>
  <c r="D10" i="5" s="1"/>
  <c r="H17" i="5"/>
  <c r="AE35" i="2" a="1"/>
  <c r="AE35" i="2" s="1"/>
  <c r="H16" i="5" s="1"/>
  <c r="G17" i="5"/>
  <c r="G15" i="5"/>
  <c r="G13" i="5"/>
  <c r="G11" i="5"/>
  <c r="G9" i="5"/>
  <c r="G6" i="5" s="1"/>
  <c r="G7" i="5"/>
  <c r="C13" i="5"/>
  <c r="AE34" i="2" a="1"/>
  <c r="AE34" i="2" s="1"/>
  <c r="H14" i="5" s="1"/>
  <c r="F17" i="5"/>
  <c r="F15" i="5"/>
  <c r="F13" i="5"/>
  <c r="F11" i="5"/>
  <c r="F9" i="5"/>
  <c r="F6" i="5" s="1"/>
  <c r="F7" i="5"/>
  <c r="C15" i="5"/>
  <c r="AB36" i="2" a="1"/>
  <c r="AB36" i="2" s="1"/>
  <c r="E18" i="5" s="1"/>
  <c r="AC35" i="2" a="1"/>
  <c r="AC35" i="2" s="1"/>
  <c r="F16" i="5" s="1"/>
  <c r="AD34" i="2" a="1"/>
  <c r="AD34" i="2" s="1"/>
  <c r="G14" i="5" s="1"/>
  <c r="AE33" i="2" a="1"/>
  <c r="AE33" i="2" s="1"/>
  <c r="H12" i="5" s="1"/>
  <c r="AF32" i="2" a="1"/>
  <c r="AF32" i="2" s="1"/>
  <c r="I10" i="5" s="1"/>
  <c r="Z32" i="2" a="1"/>
  <c r="Z32" i="2" s="1"/>
  <c r="C10" i="5" s="1"/>
  <c r="AA31" i="2" a="1"/>
  <c r="AA31" i="2" s="1"/>
  <c r="D8" i="5" s="1"/>
  <c r="E17" i="5"/>
  <c r="E15" i="5"/>
  <c r="E13" i="5"/>
  <c r="E11" i="5"/>
  <c r="E9" i="5"/>
  <c r="E6" i="5" s="1"/>
  <c r="E7" i="5"/>
  <c r="C17" i="5"/>
  <c r="AA36" i="2" a="1"/>
  <c r="AA36" i="2" s="1"/>
  <c r="D18" i="5" s="1"/>
  <c r="AB35" i="2" a="1"/>
  <c r="AB35" i="2" s="1"/>
  <c r="E16" i="5" s="1"/>
  <c r="AC34" i="2" a="1"/>
  <c r="AC34" i="2" s="1"/>
  <c r="F14" i="5" s="1"/>
  <c r="AD33" i="2" a="1"/>
  <c r="AD33" i="2" s="1"/>
  <c r="G12" i="5" s="1"/>
  <c r="AE32" i="2" a="1"/>
  <c r="AE32" i="2" s="1"/>
  <c r="H10" i="5" s="1"/>
  <c r="AF31" i="2" a="1"/>
  <c r="AF31" i="2" s="1"/>
  <c r="I8" i="5" s="1"/>
  <c r="AF34" i="2" a="1"/>
  <c r="AF34" i="2" s="1"/>
  <c r="I14" i="5" s="1"/>
  <c r="AA33" i="2" a="1"/>
  <c r="AA33" i="2" s="1"/>
  <c r="D12" i="5" s="1"/>
  <c r="AC31" i="2" a="1"/>
  <c r="AC31" i="2" s="1"/>
  <c r="F8" i="5" s="1"/>
  <c r="AC36" i="2" a="1"/>
  <c r="AC36" i="2" s="1"/>
  <c r="F18" i="5" s="1"/>
  <c r="Z33" i="2" a="1"/>
  <c r="Z33" i="2" s="1"/>
  <c r="C12" i="5" s="1"/>
  <c r="AB31" i="2" a="1"/>
  <c r="AB31" i="2" s="1"/>
  <c r="E8" i="5" s="1"/>
  <c r="D17" i="5"/>
  <c r="D15" i="5"/>
  <c r="D13" i="5"/>
  <c r="D11" i="5"/>
  <c r="D9" i="5"/>
  <c r="D7" i="5"/>
  <c r="AF36" i="2" a="1"/>
  <c r="AF36" i="2" s="1"/>
  <c r="I18" i="5" s="1"/>
  <c r="Z36" i="2" a="1"/>
  <c r="Z36" i="2" s="1"/>
  <c r="C18" i="5" s="1"/>
  <c r="AA35" i="2" a="1"/>
  <c r="AA35" i="2" s="1"/>
  <c r="D16" i="5" s="1"/>
  <c r="AB34" i="2" a="1"/>
  <c r="AB34" i="2" s="1"/>
  <c r="E14" i="5" s="1"/>
  <c r="AC33" i="2" a="1"/>
  <c r="AC33" i="2" s="1"/>
  <c r="F12" i="5" s="1"/>
  <c r="AD32" i="2" a="1"/>
  <c r="AD32" i="2" s="1"/>
  <c r="G10" i="5" s="1"/>
  <c r="AE31" i="2" a="1"/>
  <c r="AE31" i="2" s="1"/>
  <c r="H8" i="5" s="1"/>
  <c r="R20" i="2"/>
  <c r="AI13" i="1" s="1"/>
  <c r="S20" i="2"/>
  <c r="AJ13" i="1" s="1"/>
  <c r="R19" i="2"/>
  <c r="AI12" i="1" s="1"/>
  <c r="S19" i="2"/>
  <c r="AJ12" i="1" s="1"/>
  <c r="C5" i="5"/>
  <c r="H6" i="5"/>
  <c r="I6" i="5"/>
  <c r="D6" i="5"/>
  <c r="C7" i="5"/>
  <c r="K78" i="2"/>
  <c r="K54" i="2"/>
  <c r="K48" i="2"/>
  <c r="K72" i="2"/>
  <c r="K42" i="2"/>
  <c r="K84" i="2"/>
  <c r="K36" i="2"/>
  <c r="K18" i="2"/>
  <c r="K13" i="2"/>
  <c r="K79" i="2"/>
  <c r="K73" i="2"/>
  <c r="K67" i="2"/>
  <c r="K61" i="2"/>
  <c r="K55" i="2"/>
  <c r="K49" i="2"/>
  <c r="K43" i="2"/>
  <c r="K37" i="2"/>
  <c r="K31" i="2"/>
  <c r="K25" i="2"/>
  <c r="K19" i="2"/>
  <c r="K83" i="2"/>
  <c r="K77" i="2"/>
  <c r="K71" i="2"/>
  <c r="K65" i="2"/>
  <c r="K59" i="2"/>
  <c r="K53" i="2"/>
  <c r="K47" i="2"/>
  <c r="K41" i="2"/>
  <c r="K35" i="2"/>
  <c r="K29" i="2"/>
  <c r="K23" i="2"/>
  <c r="K17" i="2"/>
  <c r="K66" i="2"/>
  <c r="K30" i="2"/>
  <c r="K82" i="2"/>
  <c r="K76" i="2"/>
  <c r="K70" i="2"/>
  <c r="K64" i="2"/>
  <c r="K58" i="2"/>
  <c r="K52" i="2"/>
  <c r="K46" i="2"/>
  <c r="K40" i="2"/>
  <c r="K34" i="2"/>
  <c r="K28" i="2"/>
  <c r="K22" i="2"/>
  <c r="K16" i="2"/>
  <c r="K81" i="2"/>
  <c r="K75" i="2"/>
  <c r="K69" i="2"/>
  <c r="K63" i="2"/>
  <c r="K57" i="2"/>
  <c r="K51" i="2"/>
  <c r="K45" i="2"/>
  <c r="K39" i="2"/>
  <c r="K33" i="2"/>
  <c r="K27" i="2"/>
  <c r="K21" i="2"/>
  <c r="K15" i="2"/>
  <c r="K60" i="2"/>
  <c r="K24" i="2"/>
  <c r="K80" i="2"/>
  <c r="K74" i="2"/>
  <c r="K68" i="2"/>
  <c r="K62" i="2"/>
  <c r="K56" i="2"/>
  <c r="K50" i="2"/>
  <c r="K44" i="2"/>
  <c r="K38" i="2"/>
  <c r="K32" i="2"/>
  <c r="K26" i="2"/>
  <c r="K20" i="2"/>
  <c r="K14" i="2"/>
  <c r="S14" i="2"/>
  <c r="AJ7" i="1" s="1"/>
  <c r="S17" i="2"/>
  <c r="AJ10" i="1" s="1"/>
  <c r="S15" i="2"/>
  <c r="AJ8" i="1" s="1"/>
  <c r="S18" i="2"/>
  <c r="AJ11" i="1" s="1"/>
  <c r="S16" i="2"/>
  <c r="AJ9" i="1" s="1"/>
  <c r="R18" i="2"/>
  <c r="AI11" i="1" s="1"/>
  <c r="R14" i="2"/>
  <c r="AI7" i="1" s="1"/>
  <c r="R17" i="2"/>
  <c r="AI10" i="1" s="1"/>
  <c r="R16" i="2"/>
  <c r="AI9" i="1" s="1"/>
  <c r="R15" i="2"/>
  <c r="AI8" i="1" s="1"/>
  <c r="R13" i="2"/>
  <c r="AI6" i="1" s="1"/>
  <c r="I7" i="1"/>
  <c r="H7" i="1"/>
  <c r="D6" i="1"/>
  <c r="F7" i="1"/>
  <c r="C7" i="1"/>
  <c r="D7" i="1"/>
  <c r="G7" i="1"/>
  <c r="E7" i="1"/>
  <c r="AC25" i="1"/>
  <c r="AA26" i="1"/>
  <c r="AD25" i="1"/>
  <c r="AB25" i="1"/>
  <c r="AE25" i="1"/>
  <c r="AF25" i="1"/>
  <c r="AA25" i="1"/>
  <c r="T25" i="1"/>
  <c r="U25" i="1"/>
  <c r="S26" i="1"/>
  <c r="V25" i="1"/>
  <c r="W25" i="1"/>
  <c r="X25" i="1"/>
  <c r="S25" i="1"/>
  <c r="M25" i="1"/>
  <c r="K26" i="1"/>
  <c r="N25" i="1"/>
  <c r="K25" i="1"/>
  <c r="Q25" i="1"/>
  <c r="O25" i="1"/>
  <c r="P25" i="1"/>
  <c r="E25" i="1"/>
  <c r="C26" i="1"/>
  <c r="F25" i="1"/>
  <c r="H25" i="1"/>
  <c r="G25" i="1"/>
  <c r="C25" i="1"/>
  <c r="I25" i="1"/>
  <c r="AC16" i="1"/>
  <c r="AA17" i="1"/>
  <c r="AD16" i="1"/>
  <c r="AA16" i="1"/>
  <c r="AB16" i="1"/>
  <c r="AE16" i="1"/>
  <c r="AF16" i="1"/>
  <c r="U16" i="1"/>
  <c r="S17" i="1"/>
  <c r="V16" i="1"/>
  <c r="W16" i="1"/>
  <c r="X16" i="1"/>
  <c r="S16" i="1"/>
  <c r="Y16" i="1"/>
  <c r="N16" i="1"/>
  <c r="O16" i="1"/>
  <c r="P16" i="1"/>
  <c r="K16" i="1"/>
  <c r="Q16" i="1"/>
  <c r="L16" i="1"/>
  <c r="M16" i="1"/>
  <c r="F16" i="1"/>
  <c r="G16" i="1"/>
  <c r="H16" i="1"/>
  <c r="C16" i="1"/>
  <c r="I16" i="1"/>
  <c r="D16" i="1"/>
  <c r="E16" i="1"/>
  <c r="AD7" i="1"/>
  <c r="AE7" i="1"/>
  <c r="AF7" i="1"/>
  <c r="AA7" i="1"/>
  <c r="AG7" i="1"/>
  <c r="AB7" i="1"/>
  <c r="AC7" i="1"/>
  <c r="U7" i="1"/>
  <c r="S8" i="1"/>
  <c r="V7" i="1"/>
  <c r="W7" i="1"/>
  <c r="X7" i="1"/>
  <c r="S7" i="1"/>
  <c r="Y7" i="1"/>
  <c r="N7" i="1"/>
  <c r="K7" i="1"/>
  <c r="Q7" i="1"/>
  <c r="O7" i="1"/>
  <c r="P7" i="1"/>
  <c r="L7" i="1"/>
  <c r="M7" i="1"/>
  <c r="T24" i="1"/>
  <c r="L24" i="1"/>
  <c r="D24" i="1"/>
  <c r="T15" i="1"/>
  <c r="L15" i="1"/>
  <c r="D15" i="1"/>
  <c r="AB24" i="1"/>
  <c r="AB15" i="1"/>
  <c r="AB6" i="1"/>
  <c r="T6" i="1"/>
  <c r="L6" i="1"/>
  <c r="F8" i="2"/>
  <c r="H9" i="2" s="1"/>
  <c r="D12" i="2" s="1"/>
  <c r="J12" i="2"/>
  <c r="G12" i="2"/>
  <c r="Z22" i="2" l="1" a="1"/>
  <c r="Z22" i="2" s="1"/>
  <c r="Z31" i="2" a="1"/>
  <c r="Z31" i="2" s="1"/>
  <c r="C8" i="5" s="1"/>
  <c r="C6" i="5"/>
  <c r="H12" i="2"/>
  <c r="F12" i="2"/>
  <c r="E12" i="2"/>
  <c r="I1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<sst xmlns="http://schemas.openxmlformats.org/spreadsheetml/2006/main" count="86" uniqueCount="71">
  <si>
    <t>Year</t>
  </si>
  <si>
    <t>Week start</t>
  </si>
  <si>
    <t>(1 for Monday, 7 for Sunday)</t>
  </si>
  <si>
    <t>prev. weekstart</t>
  </si>
  <si>
    <t>Weekend</t>
  </si>
  <si>
    <t>Date</t>
  </si>
  <si>
    <t>Activity</t>
  </si>
  <si>
    <t>Icon</t>
  </si>
  <si>
    <t>Icon options</t>
  </si>
  <si>
    <t>📺</t>
  </si>
  <si>
    <t>✈</t>
  </si>
  <si>
    <t>🏠</t>
  </si>
  <si>
    <t>🏢</t>
  </si>
  <si>
    <t>🎂</t>
  </si>
  <si>
    <t>🎉</t>
  </si>
  <si>
    <t>⏱</t>
  </si>
  <si>
    <t>Travel</t>
  </si>
  <si>
    <t>Home stuff</t>
  </si>
  <si>
    <t>Anniversaries</t>
  </si>
  <si>
    <t>Party</t>
  </si>
  <si>
    <t>Appointment</t>
  </si>
  <si>
    <t>Video</t>
  </si>
  <si>
    <t>Type</t>
  </si>
  <si>
    <t>Work stuff</t>
  </si>
  <si>
    <t>Wedding Anniversary</t>
  </si>
  <si>
    <t>👨‍👧‍👦</t>
  </si>
  <si>
    <t>Kids stuff</t>
  </si>
  <si>
    <t>Holiday List</t>
  </si>
  <si>
    <t>Holiday</t>
  </si>
  <si>
    <t>Christmas Day</t>
  </si>
  <si>
    <t>Yes</t>
  </si>
  <si>
    <t>Upcoming Activities</t>
  </si>
  <si>
    <t>Today</t>
  </si>
  <si>
    <t>Next Activities</t>
  </si>
  <si>
    <t>Type Icon</t>
  </si>
  <si>
    <t>Date &amp; Activity</t>
  </si>
  <si>
    <t>For the Calendar (show only first 25)</t>
  </si>
  <si>
    <t>Set up your Planner here</t>
  </si>
  <si>
    <t>WEEKNUM</t>
  </si>
  <si>
    <t>Customizations</t>
  </si>
  <si>
    <t>Highlight Planner Dates?</t>
  </si>
  <si>
    <t>(1 for Sat+Sun, 2 for Sun+Mon… 11 for Sun only, 12 for Mon only)</t>
  </si>
  <si>
    <t>Change this to see calendar for another year</t>
  </si>
  <si>
    <t>Month numbers (for drop down)</t>
  </si>
  <si>
    <t>Month</t>
  </si>
  <si>
    <t>Selected Month</t>
  </si>
  <si>
    <t>Calendar</t>
  </si>
  <si>
    <t>Acts</t>
  </si>
  <si>
    <t>← Pick a month</t>
  </si>
  <si>
    <t>Any Month Calendar</t>
  </si>
  <si>
    <r>
      <t xml:space="preserve">Calculations </t>
    </r>
    <r>
      <rPr>
        <i/>
        <sz val="28"/>
        <color theme="1"/>
        <rFont val="Segoe UI Light"/>
        <family val="2"/>
      </rPr>
      <t>- Do not edit</t>
    </r>
  </si>
  <si>
    <t>New Year's Day</t>
  </si>
  <si>
    <t>Martin Luther King Jr. Birthday</t>
  </si>
  <si>
    <t>President's Day</t>
  </si>
  <si>
    <t>Memorial Day</t>
  </si>
  <si>
    <t>Juneteenth</t>
  </si>
  <si>
    <t>Independence Day</t>
  </si>
  <si>
    <t>Labor Day</t>
  </si>
  <si>
    <t>Columbus Day</t>
  </si>
  <si>
    <t>Veterans Day</t>
  </si>
  <si>
    <t>Thanksgiving Day</t>
  </si>
  <si>
    <t>Flight to Wellington</t>
  </si>
  <si>
    <t>School Reopens</t>
  </si>
  <si>
    <t>Flight to London</t>
  </si>
  <si>
    <t>University Term Starts</t>
  </si>
  <si>
    <t>Term Break</t>
  </si>
  <si>
    <t>Fiji Holiday</t>
  </si>
  <si>
    <t>Kids Birthday</t>
  </si>
  <si>
    <t>Calendar &amp; Planner Template (2024)</t>
  </si>
  <si>
    <t>Another Thing</t>
  </si>
  <si>
    <t>Order Team Lunches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</si>
</sst>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"/>
    <numFmt numFmtId="166" formatCode="[$-409]d\-mmm;@"/>
  </numFmts>
  <fonts count="1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sz val="24"/>
      <color theme="1"/>
      <name val="Segoe UI Light"/>
      <family val="2"/>
    </font>
    <font>
      <sz val="18"/>
      <color theme="1"/>
      <name val="Segoe UI Light"/>
      <family val="2"/>
    </font>
    <font>
      <sz val="10"/>
      <color theme="1" tint="0.249977111117893"/>
      <name val="Calibri"/>
      <family val="2"/>
      <scheme val="minor"/>
    </font>
    <font>
      <sz val="11"/>
      <color theme="3"/>
      <name val="Calibri"/>
      <family val="2"/>
      <scheme val="minor"/>
    </font>
    <font>
      <i/>
      <sz val="8"/>
      <color theme="1" tint="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28"/>
      <color theme="1"/>
      <name val="Segoe UI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</fills>
  <borders count="2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 style="medium">
        <color theme="7" tint="-0.24994659260841701"/>
      </bottom>
      <diagonal/>
    </border>
    <border>
      <left/>
      <right/>
      <top style="medium">
        <color theme="7" tint="-0.24994659260841701"/>
      </top>
      <bottom style="medium">
        <color theme="7" tint="-0.24994659260841701"/>
      </bottom>
      <diagonal/>
    </border>
    <border>
      <left/>
      <right style="medium">
        <color theme="7" tint="-0.24994659260841701"/>
      </right>
      <top style="medium">
        <color theme="7" tint="-0.24994659260841701"/>
      </top>
      <bottom style="medium">
        <color theme="7" tint="-0.24994659260841701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14" fontId="0" fillId="0" borderId="0" xfId="0" applyNumberFormat="1"/>
    <xf numFmtId="164" fontId="0" fillId="0" borderId="0" xfId="0" applyNumberFormat="1"/>
    <xf numFmtId="15" fontId="0" fillId="0" borderId="0" xfId="0" applyNumberFormat="1"/>
    <xf numFmtId="0" fontId="5" fillId="0" borderId="0" xfId="0" applyFont="1" applyAlignment="1">
      <alignment horizontal="center" vertical="center"/>
    </xf>
    <xf numFmtId="15" fontId="0" fillId="0" borderId="0" xfId="0" quotePrefix="1" applyNumberFormat="1"/>
    <xf numFmtId="0" fontId="0" fillId="4" borderId="0" xfId="0" applyFill="1"/>
    <xf numFmtId="165" fontId="3" fillId="3" borderId="6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5" fontId="0" fillId="0" borderId="0" xfId="0" applyNumberFormat="1" applyAlignment="1">
      <alignment horizontal="left"/>
    </xf>
    <xf numFmtId="0" fontId="0" fillId="5" borderId="0" xfId="0" applyFill="1"/>
    <xf numFmtId="0" fontId="0" fillId="0" borderId="16" xfId="0" applyBorder="1"/>
    <xf numFmtId="0" fontId="12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vertical="center" wrapText="1"/>
    </xf>
    <xf numFmtId="0" fontId="0" fillId="7" borderId="16" xfId="0" applyFill="1" applyBorder="1" applyAlignment="1">
      <alignment horizontal="center"/>
    </xf>
    <xf numFmtId="0" fontId="1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4" fillId="0" borderId="0" xfId="0" applyFont="1"/>
    <xf numFmtId="165" fontId="3" fillId="3" borderId="20" xfId="0" applyNumberFormat="1" applyFont="1" applyFill="1" applyBorder="1" applyAlignment="1">
      <alignment horizontal="center" vertical="center"/>
    </xf>
    <xf numFmtId="0" fontId="14" fillId="3" borderId="0" xfId="0" applyFont="1" applyFill="1"/>
    <xf numFmtId="166" fontId="0" fillId="0" borderId="0" xfId="0" applyNumberFormat="1"/>
    <xf numFmtId="0" fontId="3" fillId="3" borderId="23" xfId="0" applyFont="1" applyFill="1" applyBorder="1" applyAlignment="1">
      <alignment horizontal="center" vertical="center"/>
    </xf>
    <xf numFmtId="165" fontId="3" fillId="0" borderId="21" xfId="0" applyNumberFormat="1" applyFont="1" applyBorder="1" applyAlignment="1">
      <alignment horizontal="left" vertical="top"/>
    </xf>
    <xf numFmtId="165" fontId="3" fillId="0" borderId="24" xfId="0" applyNumberFormat="1" applyFont="1" applyBorder="1" applyAlignment="1">
      <alignment horizontal="left" vertical="top"/>
    </xf>
    <xf numFmtId="165" fontId="15" fillId="0" borderId="22" xfId="0" applyNumberFormat="1" applyFont="1" applyBorder="1" applyAlignment="1">
      <alignment horizontal="left" vertical="top" wrapText="1"/>
    </xf>
    <xf numFmtId="165" fontId="15" fillId="0" borderId="25" xfId="0" applyNumberFormat="1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8" borderId="0" xfId="0" applyFill="1"/>
    <xf numFmtId="0" fontId="10" fillId="6" borderId="1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ont>
        <b val="0"/>
        <i/>
        <color auto="1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numFmt numFmtId="20" formatCode="d\-mmm\-yy"/>
      <alignment horizontal="left" vertical="bottom" textRotation="0" wrapText="0" indent="0" justifyLastLine="0" shrinkToFit="0" readingOrder="0"/>
    </dxf>
    <dxf>
      <numFmt numFmtId="20" formatCode="d\-mmm\-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chandoo.org/wp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323850</xdr:colOff>
      <xdr:row>0</xdr:row>
      <xdr:rowOff>149958</xdr:rowOff>
    </xdr:from>
    <xdr:to>
      <xdr:col>36</xdr:col>
      <xdr:colOff>0</xdr:colOff>
      <xdr:row>2</xdr:row>
      <xdr:rowOff>0</xdr:rowOff>
    </xdr:to>
    <xdr:pic>
      <xdr:nvPicPr>
        <xdr:cNvPr id="4" name="Picture 3" descr="A red and black text on a white background&#10;&#10;Description automatically generate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450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0</xdr:row>
      <xdr:rowOff>542925</xdr:rowOff>
    </xdr:from>
    <xdr:to>
      <xdr:col>11</xdr:col>
      <xdr:colOff>0</xdr:colOff>
      <xdr:row>12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4C4A8C8-60AD-3970-9F87-C62E4FCF04B3}"/>
            </a:ext>
          </a:extLst>
        </xdr:cNvPr>
        <xdr:cNvSpPr/>
      </xdr:nvSpPr>
      <xdr:spPr>
        <a:xfrm>
          <a:off x="4829175" y="542925"/>
          <a:ext cx="3048000" cy="2257425"/>
        </a:xfrm>
        <a:prstGeom prst="roundRect">
          <a:avLst>
            <a:gd name="adj" fmla="val 41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👩‍💻 How to use?</a:t>
          </a:r>
        </a:p>
        <a:p>
          <a:pPr algn="l"/>
          <a:endParaRPr lang="en-US" sz="1200">
            <a:solidFill>
              <a:schemeClr val="tx1">
                <a:lumMod val="85000"/>
                <a:lumOff val="15000"/>
              </a:schemeClr>
            </a:solidFill>
          </a:endParaRPr>
        </a:p>
        <a:p>
          <a:pPr algn="l"/>
          <a:r>
            <a:rPr lang="en-US" sz="1200">
              <a:solidFill>
                <a:schemeClr val="tx1">
                  <a:lumMod val="85000"/>
                  <a:lumOff val="15000"/>
                </a:schemeClr>
              </a:solidFill>
            </a:rPr>
            <a:t>◉ Edit existing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</a:rPr>
            <a:t> data or add rows to set up more activities.</a:t>
          </a:r>
        </a:p>
        <a:p>
          <a:pPr algn="l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◉ 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</a:rPr>
            <a:t>Type dates, activitiy details and choose the type.</a:t>
          </a:r>
        </a:p>
        <a:p>
          <a:pPr algn="l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◉ </a:t>
          </a:r>
          <a:r>
            <a:rPr lang="en-US" sz="1200" baseline="0">
              <a:solidFill>
                <a:schemeClr val="tx1">
                  <a:lumMod val="85000"/>
                  <a:lumOff val="15000"/>
                </a:schemeClr>
              </a:solidFill>
            </a:rPr>
            <a:t>You can customize the "type" from "Customizations" tab.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323850</xdr:colOff>
      <xdr:row>0</xdr:row>
      <xdr:rowOff>149958</xdr:rowOff>
    </xdr:from>
    <xdr:to>
      <xdr:col>36</xdr:col>
      <xdr:colOff>371475</xdr:colOff>
      <xdr:row>1</xdr:row>
      <xdr:rowOff>123825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43EF6A-9E42-4C63-8D7C-CD487CAC3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450" y="149958"/>
          <a:ext cx="2486025" cy="7072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323850</xdr:colOff>
      <xdr:row>0</xdr:row>
      <xdr:rowOff>149958</xdr:rowOff>
    </xdr:from>
    <xdr:to>
      <xdr:col>38</xdr:col>
      <xdr:colOff>371475</xdr:colOff>
      <xdr:row>0</xdr:row>
      <xdr:rowOff>659130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BC16ED-C88F-4833-9D3B-1DA8FF770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450" y="149958"/>
          <a:ext cx="2486025" cy="7072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B58644-2135-4FD6-95D1-C4E2C7427BDB}" name="Plan" displayName="Plan" ref="C4:E14" totalsRowShown="0">
  <autoFilter ref="C4:E14" xr:uid="{15B58644-2135-4FD6-95D1-C4E2C7427BDB}"/>
  <tableColumns count="3">
    <tableColumn id="1" xr3:uid="{5C8AC430-7945-441D-A531-43C5FE88618E}" name="Date" dataDxfId="27"/>
    <tableColumn id="2" xr3:uid="{0874A68F-344F-4F99-91D7-97AA433405A4}" name="Activity"/>
    <tableColumn id="3" xr3:uid="{73187FAF-D049-4AF7-A2E9-3A0990000295}" name="Type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83D36-0F85-4168-80D9-FB7A090CF657}" name="icons" displayName="icons" ref="F4:G12" totalsRowShown="0">
  <autoFilter ref="F4:G12" xr:uid="{DFA83D36-0F85-4168-80D9-FB7A090CF657}"/>
  <sortState xmlns:xlrd2="http://schemas.microsoft.com/office/spreadsheetml/2017/richdata2" ref="F5:G11">
    <sortCondition ref="G4:G11"/>
  </sortState>
  <tableColumns count="2">
    <tableColumn id="1" xr3:uid="{0FAB2E4A-AF14-4EDF-8961-763ED37EF460}" name="Icon"/>
    <tableColumn id="2" xr3:uid="{BA0D821F-836D-4161-9217-7A562A55739B}" name="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8F5A3E-B1E3-41FD-A696-2B67785C01ED}" name="holidays" displayName="holidays" ref="J4:K15" totalsRowShown="0">
  <autoFilter ref="J4:K15" xr:uid="{421A7CC5-69D3-432B-9C1E-D9C37C868938}"/>
  <tableColumns count="2">
    <tableColumn id="1" xr3:uid="{B8F3741C-C0CC-4A6F-9A9A-943E0B9E1AC0}" name="Date" dataDxfId="26"/>
    <tableColumn id="2" xr3:uid="{F9299548-67A1-4D0D-BC04-304A65CC9353}" name="Holi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  <pageSetUpPr fitToPage="1"/>
  </sheetPr>
  <dimension ref="A1:AJ31"/>
  <sheetViews>
    <sheetView showGridLines="0" tabSelected="1" zoomScaleNormal="100" workbookViewId="0">
      <selection activeCell="AJ6" sqref="AJ6"/>
    </sheetView>
  </sheetViews>
  <sheetFormatPr defaultRowHeight="15" x14ac:dyDescent="0.25"/>
  <cols>
    <col min="1" max="1" width="1.7109375" customWidth="1"/>
    <col min="2" max="2" width="3.7109375" customWidth="1"/>
    <col min="3" max="33" width="5.7109375" customWidth="1"/>
    <col min="34" max="34" width="3.7109375" customWidth="1"/>
    <col min="35" max="35" width="6.7109375" customWidth="1"/>
    <col min="36" max="36" width="35.42578125" customWidth="1"/>
    <col min="37" max="37" width="2.7109375" customWidth="1"/>
  </cols>
  <sheetData>
    <row r="1" spans="1:36" s="1" customFormat="1" ht="52.5" customHeight="1" x14ac:dyDescent="0.25">
      <c r="A1" s="8"/>
      <c r="C1" s="2" t="s">
        <v>68</v>
      </c>
    </row>
    <row r="3" spans="1:36" ht="15.75" thickBot="1" x14ac:dyDescent="0.3"/>
    <row r="4" spans="1:36" ht="40.5" customHeight="1" thickBot="1" x14ac:dyDescent="0.3">
      <c r="C4" s="46" t="str">
        <f>cal.year&amp;" Calendar"</f>
        <v>2024 Calendar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8"/>
      <c r="AI4" s="44" t="s">
        <v>31</v>
      </c>
      <c r="AJ4" s="45"/>
    </row>
    <row r="5" spans="1:36" ht="15.75" thickBot="1" x14ac:dyDescent="0.3"/>
    <row r="6" spans="1:36" ht="27" customHeight="1" x14ac:dyDescent="0.25">
      <c r="C6" s="20">
        <v>1</v>
      </c>
      <c r="D6" s="49" t="str">
        <f>TEXT(C9,"MMMM")</f>
        <v>January</v>
      </c>
      <c r="E6" s="50"/>
      <c r="F6" s="50"/>
      <c r="G6" s="50"/>
      <c r="H6" s="50"/>
      <c r="I6" s="51"/>
      <c r="J6" s="19"/>
      <c r="K6" s="20">
        <v>2</v>
      </c>
      <c r="L6" s="49" t="str">
        <f>TEXT(K9,"MMMM")</f>
        <v>February</v>
      </c>
      <c r="M6" s="50"/>
      <c r="N6" s="50"/>
      <c r="O6" s="50"/>
      <c r="P6" s="50"/>
      <c r="Q6" s="51"/>
      <c r="R6" s="19"/>
      <c r="S6" s="20">
        <v>3</v>
      </c>
      <c r="T6" s="49" t="str">
        <f>TEXT(S9,"MMMM")</f>
        <v>March</v>
      </c>
      <c r="U6" s="50"/>
      <c r="V6" s="50"/>
      <c r="W6" s="50"/>
      <c r="X6" s="50"/>
      <c r="Y6" s="51"/>
      <c r="Z6" s="19"/>
      <c r="AA6" s="20">
        <v>4</v>
      </c>
      <c r="AB6" s="49" t="str">
        <f>TEXT(AA9,"MMMM")</f>
        <v>April</v>
      </c>
      <c r="AC6" s="50"/>
      <c r="AD6" s="50"/>
      <c r="AE6" s="50"/>
      <c r="AF6" s="50"/>
      <c r="AG6" s="51"/>
      <c r="AI6" s="24" t="str">
        <f ca="1">Calc!R13</f>
        <v>👨‍👧‍👦</v>
      </c>
      <c r="AJ6" s="25" t="str">
        <f ca="1">Calc!S13</f>
        <v>29-Jan: School Reopens</v>
      </c>
    </row>
    <row r="7" spans="1:36" ht="27" customHeight="1" x14ac:dyDescent="0.25">
      <c r="C7" s="9" t="str">
        <f>LEFT(TEXT(C9,"DDD"),1)</f>
        <v>M</v>
      </c>
      <c r="D7" s="10" t="str">
        <f t="shared" ref="D7:I7" si="0">LEFT(TEXT(D9,"DDD"),1)</f>
        <v>T</v>
      </c>
      <c r="E7" s="10" t="str">
        <f t="shared" si="0"/>
        <v>W</v>
      </c>
      <c r="F7" s="10" t="str">
        <f t="shared" si="0"/>
        <v>T</v>
      </c>
      <c r="G7" s="10" t="str">
        <f t="shared" si="0"/>
        <v>F</v>
      </c>
      <c r="H7" s="10" t="str">
        <f t="shared" si="0"/>
        <v>S</v>
      </c>
      <c r="I7" s="11" t="str">
        <f t="shared" si="0"/>
        <v>S</v>
      </c>
      <c r="J7" s="18"/>
      <c r="K7" s="9" t="str">
        <f>LEFT(TEXT(K9,"DDD"),1)</f>
        <v>M</v>
      </c>
      <c r="L7" s="10" t="str">
        <f t="shared" ref="L7:Q7" si="1">LEFT(TEXT(L9,"DDD"),1)</f>
        <v>T</v>
      </c>
      <c r="M7" s="10" t="str">
        <f t="shared" si="1"/>
        <v>W</v>
      </c>
      <c r="N7" s="10" t="str">
        <f t="shared" si="1"/>
        <v>T</v>
      </c>
      <c r="O7" s="10" t="str">
        <f t="shared" si="1"/>
        <v>F</v>
      </c>
      <c r="P7" s="10" t="str">
        <f t="shared" si="1"/>
        <v>S</v>
      </c>
      <c r="Q7" s="11" t="str">
        <f t="shared" si="1"/>
        <v>S</v>
      </c>
      <c r="R7" s="18"/>
      <c r="S7" s="9" t="str">
        <f>LEFT(TEXT(S9,"DDD"),1)</f>
        <v>M</v>
      </c>
      <c r="T7" s="10" t="str">
        <f t="shared" ref="T7:Y7" si="2">LEFT(TEXT(T9,"DDD"),1)</f>
        <v>T</v>
      </c>
      <c r="U7" s="10" t="str">
        <f t="shared" si="2"/>
        <v>W</v>
      </c>
      <c r="V7" s="10" t="str">
        <f t="shared" si="2"/>
        <v>T</v>
      </c>
      <c r="W7" s="10" t="str">
        <f t="shared" si="2"/>
        <v>F</v>
      </c>
      <c r="X7" s="10" t="str">
        <f t="shared" si="2"/>
        <v>S</v>
      </c>
      <c r="Y7" s="11" t="str">
        <f t="shared" si="2"/>
        <v>S</v>
      </c>
      <c r="Z7" s="18"/>
      <c r="AA7" s="9" t="str">
        <f>LEFT(TEXT(AA9,"DDD"),1)</f>
        <v>M</v>
      </c>
      <c r="AB7" s="10" t="str">
        <f t="shared" ref="AB7:AG7" si="3">LEFT(TEXT(AB9,"DDD"),1)</f>
        <v>T</v>
      </c>
      <c r="AC7" s="10" t="str">
        <f t="shared" si="3"/>
        <v>W</v>
      </c>
      <c r="AD7" s="10" t="str">
        <f t="shared" si="3"/>
        <v>T</v>
      </c>
      <c r="AE7" s="10" t="str">
        <f t="shared" si="3"/>
        <v>F</v>
      </c>
      <c r="AF7" s="10" t="str">
        <f t="shared" si="3"/>
        <v>S</v>
      </c>
      <c r="AG7" s="11" t="str">
        <f t="shared" si="3"/>
        <v>S</v>
      </c>
      <c r="AI7" s="26" t="str">
        <f ca="1">Calc!R14</f>
        <v>⏱</v>
      </c>
      <c r="AJ7" s="27" t="str">
        <f ca="1">Calc!S14</f>
        <v>29-Jan: Order Team Lunches</v>
      </c>
    </row>
    <row r="8" spans="1:36" ht="27" customHeight="1" x14ac:dyDescent="0.25">
      <c r="C8" s="12" cm="1">
        <f t="array" ref="C8:I13">_xlfn.LET(_xlpm.dt, _xlfn._xlws.FILTER(monthly.calendar, month.nums=C6), IF(MONTH(_xlpm.dt)&lt;&gt;C6,"",_xlpm.dt))</f>
        <v>45292</v>
      </c>
      <c r="D8" s="13">
        <v>45293</v>
      </c>
      <c r="E8" s="13">
        <v>45294</v>
      </c>
      <c r="F8" s="13">
        <v>45295</v>
      </c>
      <c r="G8" s="13">
        <v>45296</v>
      </c>
      <c r="H8" s="13">
        <v>45297</v>
      </c>
      <c r="I8" s="14">
        <v>45298</v>
      </c>
      <c r="J8" s="18"/>
      <c r="K8" s="12" t="str" cm="1">
        <f t="array" ref="K8:Q13">_xlfn.LET(_xlpm.dt, _xlfn._xlws.FILTER(monthly.calendar, month.nums=K6), IF(MONTH(_xlpm.dt)&lt;&gt;K6,"",_xlpm.dt))</f>
        <v/>
      </c>
      <c r="L8" s="13" t="str">
        <v/>
      </c>
      <c r="M8" s="13" t="str">
        <v/>
      </c>
      <c r="N8" s="13">
        <v>45323</v>
      </c>
      <c r="O8" s="13">
        <v>45324</v>
      </c>
      <c r="P8" s="13">
        <v>45325</v>
      </c>
      <c r="Q8" s="14">
        <v>45326</v>
      </c>
      <c r="R8" s="18"/>
      <c r="S8" s="12" t="str" cm="1">
        <f t="array" ref="S8:Y13">_xlfn.LET(_xlpm.dt, _xlfn._xlws.FILTER(monthly.calendar, month.nums=S6), IF(MONTH(_xlpm.dt)&lt;&gt;S6,"",_xlpm.dt))</f>
        <v/>
      </c>
      <c r="T8" s="13" t="str">
        <v/>
      </c>
      <c r="U8" s="13" t="str">
        <v/>
      </c>
      <c r="V8" s="13" t="str">
        <v/>
      </c>
      <c r="W8" s="13">
        <v>45352</v>
      </c>
      <c r="X8" s="13">
        <v>45353</v>
      </c>
      <c r="Y8" s="14">
        <v>45354</v>
      </c>
      <c r="Z8" s="18"/>
      <c r="AA8" s="12" cm="1">
        <f t="array" ref="AA8:AG13">_xlfn.LET(_xlpm.dt, _xlfn._xlws.FILTER(monthly.calendar, month.nums=AA6), IF(MONTH(_xlpm.dt)&lt;&gt;AA6,"",_xlpm.dt))</f>
        <v>45383</v>
      </c>
      <c r="AB8" s="13">
        <v>45384</v>
      </c>
      <c r="AC8" s="13">
        <v>45385</v>
      </c>
      <c r="AD8" s="13">
        <v>45386</v>
      </c>
      <c r="AE8" s="13">
        <v>45387</v>
      </c>
      <c r="AF8" s="13">
        <v>45388</v>
      </c>
      <c r="AG8" s="14">
        <v>45389</v>
      </c>
      <c r="AI8" s="26" t="str">
        <f ca="1">Calc!R15</f>
        <v>🏢</v>
      </c>
      <c r="AJ8" s="27" t="str">
        <f ca="1">Calc!S15</f>
        <v>6-Feb: Flight to London</v>
      </c>
    </row>
    <row r="9" spans="1:36" ht="27" customHeight="1" x14ac:dyDescent="0.25">
      <c r="C9" s="12">
        <v>45299</v>
      </c>
      <c r="D9" s="13">
        <v>45300</v>
      </c>
      <c r="E9" s="13">
        <v>45301</v>
      </c>
      <c r="F9" s="13">
        <v>45302</v>
      </c>
      <c r="G9" s="13">
        <v>45303</v>
      </c>
      <c r="H9" s="13">
        <v>45304</v>
      </c>
      <c r="I9" s="14">
        <v>45305</v>
      </c>
      <c r="J9" s="18"/>
      <c r="K9" s="12">
        <v>45327</v>
      </c>
      <c r="L9" s="13">
        <v>45328</v>
      </c>
      <c r="M9" s="13">
        <v>45329</v>
      </c>
      <c r="N9" s="13">
        <v>45330</v>
      </c>
      <c r="O9" s="13">
        <v>45331</v>
      </c>
      <c r="P9" s="13">
        <v>45332</v>
      </c>
      <c r="Q9" s="14">
        <v>45333</v>
      </c>
      <c r="R9" s="18"/>
      <c r="S9" s="12">
        <v>45355</v>
      </c>
      <c r="T9" s="13">
        <v>45356</v>
      </c>
      <c r="U9" s="13">
        <v>45357</v>
      </c>
      <c r="V9" s="13">
        <v>45358</v>
      </c>
      <c r="W9" s="13">
        <v>45359</v>
      </c>
      <c r="X9" s="13">
        <v>45360</v>
      </c>
      <c r="Y9" s="14">
        <v>45361</v>
      </c>
      <c r="Z9" s="18"/>
      <c r="AA9" s="12">
        <v>45390</v>
      </c>
      <c r="AB9" s="13">
        <v>45391</v>
      </c>
      <c r="AC9" s="13">
        <v>45392</v>
      </c>
      <c r="AD9" s="13">
        <v>45393</v>
      </c>
      <c r="AE9" s="13">
        <v>45394</v>
      </c>
      <c r="AF9" s="13">
        <v>45395</v>
      </c>
      <c r="AG9" s="14">
        <v>45396</v>
      </c>
      <c r="AI9" s="26" t="str">
        <f ca="1">Calc!R16</f>
        <v>⏱</v>
      </c>
      <c r="AJ9" s="27" t="str">
        <f ca="1">Calc!S16</f>
        <v>26-Feb: University Term Starts</v>
      </c>
    </row>
    <row r="10" spans="1:36" ht="27" customHeight="1" x14ac:dyDescent="0.25">
      <c r="C10" s="12">
        <v>45306</v>
      </c>
      <c r="D10" s="13">
        <v>45307</v>
      </c>
      <c r="E10" s="13">
        <v>45308</v>
      </c>
      <c r="F10" s="13">
        <v>45309</v>
      </c>
      <c r="G10" s="13">
        <v>45310</v>
      </c>
      <c r="H10" s="13">
        <v>45311</v>
      </c>
      <c r="I10" s="14">
        <v>45312</v>
      </c>
      <c r="J10" s="18"/>
      <c r="K10" s="12">
        <v>45334</v>
      </c>
      <c r="L10" s="13">
        <v>45335</v>
      </c>
      <c r="M10" s="13">
        <v>45336</v>
      </c>
      <c r="N10" s="13">
        <v>45337</v>
      </c>
      <c r="O10" s="13">
        <v>45338</v>
      </c>
      <c r="P10" s="13">
        <v>45339</v>
      </c>
      <c r="Q10" s="14">
        <v>45340</v>
      </c>
      <c r="R10" s="18"/>
      <c r="S10" s="12">
        <v>45362</v>
      </c>
      <c r="T10" s="13">
        <v>45363</v>
      </c>
      <c r="U10" s="13">
        <v>45364</v>
      </c>
      <c r="V10" s="13">
        <v>45365</v>
      </c>
      <c r="W10" s="13">
        <v>45366</v>
      </c>
      <c r="X10" s="13">
        <v>45367</v>
      </c>
      <c r="Y10" s="14">
        <v>45368</v>
      </c>
      <c r="Z10" s="18"/>
      <c r="AA10" s="12">
        <v>45397</v>
      </c>
      <c r="AB10" s="13">
        <v>45398</v>
      </c>
      <c r="AC10" s="13">
        <v>45399</v>
      </c>
      <c r="AD10" s="13">
        <v>45400</v>
      </c>
      <c r="AE10" s="13">
        <v>45401</v>
      </c>
      <c r="AF10" s="13">
        <v>45402</v>
      </c>
      <c r="AG10" s="14">
        <v>45403</v>
      </c>
      <c r="AI10" s="26" t="str">
        <f ca="1">Calc!R17</f>
        <v>🎉</v>
      </c>
      <c r="AJ10" s="27" t="str">
        <f ca="1">Calc!S17</f>
        <v>13-Apr: Term Break</v>
      </c>
    </row>
    <row r="11" spans="1:36" ht="27" customHeight="1" x14ac:dyDescent="0.25">
      <c r="C11" s="12">
        <v>45313</v>
      </c>
      <c r="D11" s="13">
        <v>45314</v>
      </c>
      <c r="E11" s="13">
        <v>45315</v>
      </c>
      <c r="F11" s="13">
        <v>45316</v>
      </c>
      <c r="G11" s="13">
        <v>45317</v>
      </c>
      <c r="H11" s="13">
        <v>45318</v>
      </c>
      <c r="I11" s="14">
        <v>45319</v>
      </c>
      <c r="J11" s="18"/>
      <c r="K11" s="12">
        <v>45341</v>
      </c>
      <c r="L11" s="13">
        <v>45342</v>
      </c>
      <c r="M11" s="13">
        <v>45343</v>
      </c>
      <c r="N11" s="13">
        <v>45344</v>
      </c>
      <c r="O11" s="13">
        <v>45345</v>
      </c>
      <c r="P11" s="13">
        <v>45346</v>
      </c>
      <c r="Q11" s="14">
        <v>45347</v>
      </c>
      <c r="R11" s="18"/>
      <c r="S11" s="12">
        <v>45369</v>
      </c>
      <c r="T11" s="13">
        <v>45370</v>
      </c>
      <c r="U11" s="13">
        <v>45371</v>
      </c>
      <c r="V11" s="13">
        <v>45372</v>
      </c>
      <c r="W11" s="13">
        <v>45373</v>
      </c>
      <c r="X11" s="13">
        <v>45374</v>
      </c>
      <c r="Y11" s="14">
        <v>45375</v>
      </c>
      <c r="Z11" s="18"/>
      <c r="AA11" s="12">
        <v>45404</v>
      </c>
      <c r="AB11" s="13">
        <v>45405</v>
      </c>
      <c r="AC11" s="13">
        <v>45406</v>
      </c>
      <c r="AD11" s="13">
        <v>45407</v>
      </c>
      <c r="AE11" s="13">
        <v>45408</v>
      </c>
      <c r="AF11" s="13">
        <v>45409</v>
      </c>
      <c r="AG11" s="14">
        <v>45410</v>
      </c>
      <c r="AI11" s="26" t="str">
        <f ca="1">Calc!R18</f>
        <v>✈</v>
      </c>
      <c r="AJ11" s="27" t="str">
        <f ca="1">Calc!S18</f>
        <v>6-Jul: Fiji Holiday</v>
      </c>
    </row>
    <row r="12" spans="1:36" ht="27" customHeight="1" x14ac:dyDescent="0.25">
      <c r="C12" s="12">
        <v>45320</v>
      </c>
      <c r="D12" s="13">
        <v>45321</v>
      </c>
      <c r="E12" s="13">
        <v>45322</v>
      </c>
      <c r="F12" s="13" t="str">
        <v/>
      </c>
      <c r="G12" s="13" t="str">
        <v/>
      </c>
      <c r="H12" s="13" t="str">
        <v/>
      </c>
      <c r="I12" s="14" t="str">
        <v/>
      </c>
      <c r="J12" s="18"/>
      <c r="K12" s="12">
        <v>45348</v>
      </c>
      <c r="L12" s="13">
        <v>45349</v>
      </c>
      <c r="M12" s="13">
        <v>45350</v>
      </c>
      <c r="N12" s="13">
        <v>45351</v>
      </c>
      <c r="O12" s="13" t="str">
        <v/>
      </c>
      <c r="P12" s="13" t="str">
        <v/>
      </c>
      <c r="Q12" s="14" t="str">
        <v/>
      </c>
      <c r="R12" s="18"/>
      <c r="S12" s="12">
        <v>45376</v>
      </c>
      <c r="T12" s="13">
        <v>45377</v>
      </c>
      <c r="U12" s="13">
        <v>45378</v>
      </c>
      <c r="V12" s="13">
        <v>45379</v>
      </c>
      <c r="W12" s="13">
        <v>45380</v>
      </c>
      <c r="X12" s="13">
        <v>45381</v>
      </c>
      <c r="Y12" s="14">
        <v>45382</v>
      </c>
      <c r="Z12" s="18"/>
      <c r="AA12" s="12">
        <v>45411</v>
      </c>
      <c r="AB12" s="13">
        <v>45412</v>
      </c>
      <c r="AC12" s="13" t="str">
        <v/>
      </c>
      <c r="AD12" s="13" t="str">
        <v/>
      </c>
      <c r="AE12" s="13" t="str">
        <v/>
      </c>
      <c r="AF12" s="13" t="str">
        <v/>
      </c>
      <c r="AG12" s="14" t="str">
        <v/>
      </c>
      <c r="AI12" s="26" t="str">
        <f ca="1">Calc!R19</f>
        <v>🎂</v>
      </c>
      <c r="AJ12" s="27" t="str">
        <f ca="1">Calc!S19</f>
        <v>24-Sep: Kids Birthday</v>
      </c>
    </row>
    <row r="13" spans="1:36" ht="27" customHeight="1" thickBot="1" x14ac:dyDescent="0.3">
      <c r="C13" s="15" t="str">
        <v/>
      </c>
      <c r="D13" s="16" t="str">
        <v/>
      </c>
      <c r="E13" s="16" t="str">
        <v/>
      </c>
      <c r="F13" s="16" t="str">
        <v/>
      </c>
      <c r="G13" s="16" t="str">
        <v/>
      </c>
      <c r="H13" s="16" t="str">
        <v/>
      </c>
      <c r="I13" s="17" t="str">
        <v/>
      </c>
      <c r="J13" s="18"/>
      <c r="K13" s="15" t="str">
        <v/>
      </c>
      <c r="L13" s="16" t="str">
        <v/>
      </c>
      <c r="M13" s="16" t="str">
        <v/>
      </c>
      <c r="N13" s="16" t="str">
        <v/>
      </c>
      <c r="O13" s="16" t="str">
        <v/>
      </c>
      <c r="P13" s="16" t="str">
        <v/>
      </c>
      <c r="Q13" s="17" t="str">
        <v/>
      </c>
      <c r="R13" s="18"/>
      <c r="S13" s="15" t="str">
        <v/>
      </c>
      <c r="T13" s="16" t="str">
        <v/>
      </c>
      <c r="U13" s="16" t="str">
        <v/>
      </c>
      <c r="V13" s="16" t="str">
        <v/>
      </c>
      <c r="W13" s="16" t="str">
        <v/>
      </c>
      <c r="X13" s="16" t="str">
        <v/>
      </c>
      <c r="Y13" s="17" t="str">
        <v/>
      </c>
      <c r="Z13" s="18"/>
      <c r="AA13" s="15" t="str">
        <v/>
      </c>
      <c r="AB13" s="16" t="str">
        <v/>
      </c>
      <c r="AC13" s="16" t="str">
        <v/>
      </c>
      <c r="AD13" s="16" t="str">
        <v/>
      </c>
      <c r="AE13" s="16" t="str">
        <v/>
      </c>
      <c r="AF13" s="16" t="str">
        <v/>
      </c>
      <c r="AG13" s="17" t="str">
        <v/>
      </c>
      <c r="AI13" s="26" t="str">
        <f>Calc!R20</f>
        <v/>
      </c>
      <c r="AJ13" s="27" t="str">
        <f>Calc!S20</f>
        <v/>
      </c>
    </row>
    <row r="14" spans="1:36" ht="27" customHeight="1" thickBot="1" x14ac:dyDescent="0.3"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I14" s="26" t="str">
        <f>Calc!R21</f>
        <v/>
      </c>
      <c r="AJ14" s="27" t="str">
        <f>Calc!S21</f>
        <v/>
      </c>
    </row>
    <row r="15" spans="1:36" ht="27" customHeight="1" x14ac:dyDescent="0.25">
      <c r="C15" s="20">
        <v>5</v>
      </c>
      <c r="D15" s="49" t="str">
        <f>TEXT(C18,"MMMM")</f>
        <v>May</v>
      </c>
      <c r="E15" s="50"/>
      <c r="F15" s="50"/>
      <c r="G15" s="50"/>
      <c r="H15" s="50"/>
      <c r="I15" s="51"/>
      <c r="J15" s="19"/>
      <c r="K15" s="20">
        <v>6</v>
      </c>
      <c r="L15" s="49" t="str">
        <f>TEXT(K18,"MMMM")</f>
        <v>June</v>
      </c>
      <c r="M15" s="50"/>
      <c r="N15" s="50"/>
      <c r="O15" s="50"/>
      <c r="P15" s="50"/>
      <c r="Q15" s="51"/>
      <c r="R15" s="19"/>
      <c r="S15" s="20">
        <v>7</v>
      </c>
      <c r="T15" s="49" t="str">
        <f>TEXT(S18,"MMMM")</f>
        <v>July</v>
      </c>
      <c r="U15" s="50"/>
      <c r="V15" s="50"/>
      <c r="W15" s="50"/>
      <c r="X15" s="50"/>
      <c r="Y15" s="51"/>
      <c r="Z15" s="19"/>
      <c r="AA15" s="20">
        <v>8</v>
      </c>
      <c r="AB15" s="49" t="str">
        <f>TEXT(AA18,"MMMM")</f>
        <v>August</v>
      </c>
      <c r="AC15" s="50"/>
      <c r="AD15" s="50"/>
      <c r="AE15" s="50"/>
      <c r="AF15" s="50"/>
      <c r="AG15" s="51"/>
      <c r="AI15" s="26" t="str">
        <f>Calc!R22</f>
        <v/>
      </c>
      <c r="AJ15" s="27" t="str">
        <f>Calc!S22</f>
        <v/>
      </c>
    </row>
    <row r="16" spans="1:36" ht="27" customHeight="1" x14ac:dyDescent="0.25">
      <c r="C16" s="9" t="str">
        <f>LEFT(TEXT(C18,"DDD"),1)</f>
        <v>M</v>
      </c>
      <c r="D16" s="10" t="str">
        <f t="shared" ref="D16:I16" si="4">LEFT(TEXT(D18,"DDD"),1)</f>
        <v>T</v>
      </c>
      <c r="E16" s="10" t="str">
        <f t="shared" si="4"/>
        <v>W</v>
      </c>
      <c r="F16" s="10" t="str">
        <f t="shared" si="4"/>
        <v>T</v>
      </c>
      <c r="G16" s="10" t="str">
        <f t="shared" si="4"/>
        <v>F</v>
      </c>
      <c r="H16" s="10" t="str">
        <f t="shared" si="4"/>
        <v>S</v>
      </c>
      <c r="I16" s="11" t="str">
        <f t="shared" si="4"/>
        <v>S</v>
      </c>
      <c r="J16" s="18"/>
      <c r="K16" s="9" t="str">
        <f>LEFT(TEXT(K18,"DDD"),1)</f>
        <v>M</v>
      </c>
      <c r="L16" s="10" t="str">
        <f t="shared" ref="L16:Q16" si="5">LEFT(TEXT(L18,"DDD"),1)</f>
        <v>T</v>
      </c>
      <c r="M16" s="10" t="str">
        <f t="shared" si="5"/>
        <v>W</v>
      </c>
      <c r="N16" s="10" t="str">
        <f t="shared" si="5"/>
        <v>T</v>
      </c>
      <c r="O16" s="10" t="str">
        <f t="shared" si="5"/>
        <v>F</v>
      </c>
      <c r="P16" s="10" t="str">
        <f t="shared" si="5"/>
        <v>S</v>
      </c>
      <c r="Q16" s="11" t="str">
        <f t="shared" si="5"/>
        <v>S</v>
      </c>
      <c r="R16" s="18"/>
      <c r="S16" s="9" t="str">
        <f>LEFT(TEXT(S18,"DDD"),1)</f>
        <v>M</v>
      </c>
      <c r="T16" s="10" t="str">
        <f t="shared" ref="T16:Y16" si="6">LEFT(TEXT(T18,"DDD"),1)</f>
        <v>T</v>
      </c>
      <c r="U16" s="10" t="str">
        <f t="shared" si="6"/>
        <v>W</v>
      </c>
      <c r="V16" s="10" t="str">
        <f t="shared" si="6"/>
        <v>T</v>
      </c>
      <c r="W16" s="10" t="str">
        <f t="shared" si="6"/>
        <v>F</v>
      </c>
      <c r="X16" s="10" t="str">
        <f t="shared" si="6"/>
        <v>S</v>
      </c>
      <c r="Y16" s="11" t="str">
        <f t="shared" si="6"/>
        <v>S</v>
      </c>
      <c r="Z16" s="18"/>
      <c r="AA16" s="9" t="str">
        <f>LEFT(TEXT(AA18,"DDD"),1)</f>
        <v>M</v>
      </c>
      <c r="AB16" s="10" t="str">
        <f t="shared" ref="AB16:AG16" si="7">LEFT(TEXT(AB18,"DDD"),1)</f>
        <v>T</v>
      </c>
      <c r="AC16" s="10" t="str">
        <f t="shared" si="7"/>
        <v>W</v>
      </c>
      <c r="AD16" s="10" t="str">
        <f t="shared" si="7"/>
        <v>T</v>
      </c>
      <c r="AE16" s="10" t="str">
        <f t="shared" si="7"/>
        <v>F</v>
      </c>
      <c r="AF16" s="10" t="str">
        <f t="shared" si="7"/>
        <v>S</v>
      </c>
      <c r="AG16" s="11" t="str">
        <f t="shared" si="7"/>
        <v>S</v>
      </c>
      <c r="AI16" s="26" t="str">
        <f>Calc!R23</f>
        <v/>
      </c>
      <c r="AJ16" s="27" t="str">
        <f>Calc!S23</f>
        <v/>
      </c>
    </row>
    <row r="17" spans="3:36" ht="27" customHeight="1" x14ac:dyDescent="0.25">
      <c r="C17" s="12" t="str" cm="1">
        <f t="array" ref="C17:I22">_xlfn.LET(_xlpm.dt, _xlfn._xlws.FILTER(monthly.calendar, month.nums=C15), IF(MONTH(_xlpm.dt)&lt;&gt;C15,"",_xlpm.dt))</f>
        <v/>
      </c>
      <c r="D17" s="13" t="str">
        <v/>
      </c>
      <c r="E17" s="13">
        <v>45413</v>
      </c>
      <c r="F17" s="13">
        <v>45414</v>
      </c>
      <c r="G17" s="13">
        <v>45415</v>
      </c>
      <c r="H17" s="13">
        <v>45416</v>
      </c>
      <c r="I17" s="14">
        <v>45417</v>
      </c>
      <c r="J17" s="18"/>
      <c r="K17" s="12" t="str" cm="1">
        <f t="array" ref="K17:Q22">_xlfn.LET(_xlpm.dt, _xlfn._xlws.FILTER(monthly.calendar, month.nums=K15), IF(MONTH(_xlpm.dt)&lt;&gt;K15,"",_xlpm.dt))</f>
        <v/>
      </c>
      <c r="L17" s="13" t="str">
        <v/>
      </c>
      <c r="M17" s="13" t="str">
        <v/>
      </c>
      <c r="N17" s="13" t="str">
        <v/>
      </c>
      <c r="O17" s="13" t="str">
        <v/>
      </c>
      <c r="P17" s="13">
        <v>45444</v>
      </c>
      <c r="Q17" s="14">
        <v>45445</v>
      </c>
      <c r="R17" s="18"/>
      <c r="S17" s="12" cm="1">
        <f t="array" ref="S17:Y22">_xlfn.LET(_xlpm.dt, _xlfn._xlws.FILTER(monthly.calendar, month.nums=S15), IF(MONTH(_xlpm.dt)&lt;&gt;S15,"",_xlpm.dt))</f>
        <v>45474</v>
      </c>
      <c r="T17" s="13">
        <v>45475</v>
      </c>
      <c r="U17" s="13">
        <v>45476</v>
      </c>
      <c r="V17" s="13">
        <v>45477</v>
      </c>
      <c r="W17" s="13">
        <v>45478</v>
      </c>
      <c r="X17" s="13">
        <v>45479</v>
      </c>
      <c r="Y17" s="14">
        <v>45480</v>
      </c>
      <c r="Z17" s="18"/>
      <c r="AA17" s="12" t="str" cm="1">
        <f t="array" ref="AA17:AG22">_xlfn.LET(_xlpm.dt, _xlfn._xlws.FILTER(monthly.calendar, month.nums=AA15), IF(MONTH(_xlpm.dt)&lt;&gt;AA15,"",_xlpm.dt))</f>
        <v/>
      </c>
      <c r="AB17" s="13" t="str">
        <v/>
      </c>
      <c r="AC17" s="13" t="str">
        <v/>
      </c>
      <c r="AD17" s="13">
        <v>45505</v>
      </c>
      <c r="AE17" s="13">
        <v>45506</v>
      </c>
      <c r="AF17" s="13">
        <v>45507</v>
      </c>
      <c r="AG17" s="14">
        <v>45508</v>
      </c>
      <c r="AI17" s="26" t="str">
        <f>Calc!R24</f>
        <v/>
      </c>
      <c r="AJ17" s="27" t="str">
        <f>Calc!S24</f>
        <v/>
      </c>
    </row>
    <row r="18" spans="3:36" ht="27" customHeight="1" x14ac:dyDescent="0.25">
      <c r="C18" s="12">
        <v>45418</v>
      </c>
      <c r="D18" s="13">
        <v>45419</v>
      </c>
      <c r="E18" s="13">
        <v>45420</v>
      </c>
      <c r="F18" s="13">
        <v>45421</v>
      </c>
      <c r="G18" s="13">
        <v>45422</v>
      </c>
      <c r="H18" s="13">
        <v>45423</v>
      </c>
      <c r="I18" s="14">
        <v>45424</v>
      </c>
      <c r="J18" s="18"/>
      <c r="K18" s="12">
        <v>45446</v>
      </c>
      <c r="L18" s="13">
        <v>45447</v>
      </c>
      <c r="M18" s="13">
        <v>45448</v>
      </c>
      <c r="N18" s="13">
        <v>45449</v>
      </c>
      <c r="O18" s="13">
        <v>45450</v>
      </c>
      <c r="P18" s="13">
        <v>45451</v>
      </c>
      <c r="Q18" s="14">
        <v>45452</v>
      </c>
      <c r="R18" s="18"/>
      <c r="S18" s="12">
        <v>45481</v>
      </c>
      <c r="T18" s="13">
        <v>45482</v>
      </c>
      <c r="U18" s="13">
        <v>45483</v>
      </c>
      <c r="V18" s="13">
        <v>45484</v>
      </c>
      <c r="W18" s="13">
        <v>45485</v>
      </c>
      <c r="X18" s="13">
        <v>45486</v>
      </c>
      <c r="Y18" s="14">
        <v>45487</v>
      </c>
      <c r="Z18" s="18"/>
      <c r="AA18" s="12">
        <v>45509</v>
      </c>
      <c r="AB18" s="13">
        <v>45510</v>
      </c>
      <c r="AC18" s="13">
        <v>45511</v>
      </c>
      <c r="AD18" s="13">
        <v>45512</v>
      </c>
      <c r="AE18" s="13">
        <v>45513</v>
      </c>
      <c r="AF18" s="13">
        <v>45514</v>
      </c>
      <c r="AG18" s="14">
        <v>45515</v>
      </c>
      <c r="AI18" s="26" t="str">
        <f>Calc!R25</f>
        <v/>
      </c>
      <c r="AJ18" s="27" t="str">
        <f>Calc!S25</f>
        <v/>
      </c>
    </row>
    <row r="19" spans="3:36" ht="27" customHeight="1" x14ac:dyDescent="0.25">
      <c r="C19" s="12">
        <v>45425</v>
      </c>
      <c r="D19" s="13">
        <v>45426</v>
      </c>
      <c r="E19" s="13">
        <v>45427</v>
      </c>
      <c r="F19" s="13">
        <v>45428</v>
      </c>
      <c r="G19" s="13">
        <v>45429</v>
      </c>
      <c r="H19" s="13">
        <v>45430</v>
      </c>
      <c r="I19" s="14">
        <v>45431</v>
      </c>
      <c r="J19" s="18"/>
      <c r="K19" s="12">
        <v>45453</v>
      </c>
      <c r="L19" s="13">
        <v>45454</v>
      </c>
      <c r="M19" s="13">
        <v>45455</v>
      </c>
      <c r="N19" s="13">
        <v>45456</v>
      </c>
      <c r="O19" s="13">
        <v>45457</v>
      </c>
      <c r="P19" s="13">
        <v>45458</v>
      </c>
      <c r="Q19" s="14">
        <v>45459</v>
      </c>
      <c r="R19" s="18"/>
      <c r="S19" s="12">
        <v>45488</v>
      </c>
      <c r="T19" s="13">
        <v>45489</v>
      </c>
      <c r="U19" s="13">
        <v>45490</v>
      </c>
      <c r="V19" s="13">
        <v>45491</v>
      </c>
      <c r="W19" s="13">
        <v>45492</v>
      </c>
      <c r="X19" s="13">
        <v>45493</v>
      </c>
      <c r="Y19" s="14">
        <v>45494</v>
      </c>
      <c r="Z19" s="18"/>
      <c r="AA19" s="12">
        <v>45516</v>
      </c>
      <c r="AB19" s="13">
        <v>45517</v>
      </c>
      <c r="AC19" s="13">
        <v>45518</v>
      </c>
      <c r="AD19" s="13">
        <v>45519</v>
      </c>
      <c r="AE19" s="13">
        <v>45520</v>
      </c>
      <c r="AF19" s="13">
        <v>45521</v>
      </c>
      <c r="AG19" s="14">
        <v>45522</v>
      </c>
      <c r="AI19" s="26" t="str">
        <f>Calc!R26</f>
        <v/>
      </c>
      <c r="AJ19" s="27" t="str">
        <f>Calc!S26</f>
        <v/>
      </c>
    </row>
    <row r="20" spans="3:36" ht="27" customHeight="1" x14ac:dyDescent="0.25">
      <c r="C20" s="12">
        <v>45432</v>
      </c>
      <c r="D20" s="13">
        <v>45433</v>
      </c>
      <c r="E20" s="13">
        <v>45434</v>
      </c>
      <c r="F20" s="13">
        <v>45435</v>
      </c>
      <c r="G20" s="13">
        <v>45436</v>
      </c>
      <c r="H20" s="13">
        <v>45437</v>
      </c>
      <c r="I20" s="14">
        <v>45438</v>
      </c>
      <c r="J20" s="18"/>
      <c r="K20" s="12">
        <v>45460</v>
      </c>
      <c r="L20" s="13">
        <v>45461</v>
      </c>
      <c r="M20" s="13">
        <v>45462</v>
      </c>
      <c r="N20" s="13">
        <v>45463</v>
      </c>
      <c r="O20" s="13">
        <v>45464</v>
      </c>
      <c r="P20" s="13">
        <v>45465</v>
      </c>
      <c r="Q20" s="14">
        <v>45466</v>
      </c>
      <c r="R20" s="18"/>
      <c r="S20" s="12">
        <v>45495</v>
      </c>
      <c r="T20" s="13">
        <v>45496</v>
      </c>
      <c r="U20" s="13">
        <v>45497</v>
      </c>
      <c r="V20" s="13">
        <v>45498</v>
      </c>
      <c r="W20" s="13">
        <v>45499</v>
      </c>
      <c r="X20" s="13">
        <v>45500</v>
      </c>
      <c r="Y20" s="14">
        <v>45501</v>
      </c>
      <c r="Z20" s="18"/>
      <c r="AA20" s="12">
        <v>45523</v>
      </c>
      <c r="AB20" s="13">
        <v>45524</v>
      </c>
      <c r="AC20" s="13">
        <v>45525</v>
      </c>
      <c r="AD20" s="13">
        <v>45526</v>
      </c>
      <c r="AE20" s="13">
        <v>45527</v>
      </c>
      <c r="AF20" s="13">
        <v>45528</v>
      </c>
      <c r="AG20" s="14">
        <v>45529</v>
      </c>
      <c r="AI20" s="26" t="str">
        <f>Calc!R27</f>
        <v/>
      </c>
      <c r="AJ20" s="27" t="str">
        <f>Calc!S27</f>
        <v/>
      </c>
    </row>
    <row r="21" spans="3:36" ht="27" customHeight="1" x14ac:dyDescent="0.25">
      <c r="C21" s="12">
        <v>45439</v>
      </c>
      <c r="D21" s="13">
        <v>45440</v>
      </c>
      <c r="E21" s="13">
        <v>45441</v>
      </c>
      <c r="F21" s="13">
        <v>45442</v>
      </c>
      <c r="G21" s="13">
        <v>45443</v>
      </c>
      <c r="H21" s="13" t="str">
        <v/>
      </c>
      <c r="I21" s="14" t="str">
        <v/>
      </c>
      <c r="J21" s="18"/>
      <c r="K21" s="12">
        <v>45467</v>
      </c>
      <c r="L21" s="13">
        <v>45468</v>
      </c>
      <c r="M21" s="13">
        <v>45469</v>
      </c>
      <c r="N21" s="13">
        <v>45470</v>
      </c>
      <c r="O21" s="13">
        <v>45471</v>
      </c>
      <c r="P21" s="13">
        <v>45472</v>
      </c>
      <c r="Q21" s="14">
        <v>45473</v>
      </c>
      <c r="R21" s="18"/>
      <c r="S21" s="12">
        <v>45502</v>
      </c>
      <c r="T21" s="13">
        <v>45503</v>
      </c>
      <c r="U21" s="13">
        <v>45504</v>
      </c>
      <c r="V21" s="13" t="str">
        <v/>
      </c>
      <c r="W21" s="13" t="str">
        <v/>
      </c>
      <c r="X21" s="13" t="str">
        <v/>
      </c>
      <c r="Y21" s="14" t="str">
        <v/>
      </c>
      <c r="Z21" s="18"/>
      <c r="AA21" s="12">
        <v>45530</v>
      </c>
      <c r="AB21" s="13">
        <v>45531</v>
      </c>
      <c r="AC21" s="13">
        <v>45532</v>
      </c>
      <c r="AD21" s="13">
        <v>45533</v>
      </c>
      <c r="AE21" s="13">
        <v>45534</v>
      </c>
      <c r="AF21" s="13">
        <v>45535</v>
      </c>
      <c r="AG21" s="14" t="str">
        <v/>
      </c>
      <c r="AI21" s="26" t="str">
        <f>Calc!R28</f>
        <v/>
      </c>
      <c r="AJ21" s="27" t="str">
        <f>Calc!S28</f>
        <v/>
      </c>
    </row>
    <row r="22" spans="3:36" ht="27" customHeight="1" thickBot="1" x14ac:dyDescent="0.3">
      <c r="C22" s="15" t="str">
        <v/>
      </c>
      <c r="D22" s="16" t="str">
        <v/>
      </c>
      <c r="E22" s="16" t="str">
        <v/>
      </c>
      <c r="F22" s="16" t="str">
        <v/>
      </c>
      <c r="G22" s="16" t="str">
        <v/>
      </c>
      <c r="H22" s="16" t="str">
        <v/>
      </c>
      <c r="I22" s="17" t="str">
        <v/>
      </c>
      <c r="J22" s="18"/>
      <c r="K22" s="15" t="str">
        <v/>
      </c>
      <c r="L22" s="16" t="str">
        <v/>
      </c>
      <c r="M22" s="16" t="str">
        <v/>
      </c>
      <c r="N22" s="16" t="str">
        <v/>
      </c>
      <c r="O22" s="16" t="str">
        <v/>
      </c>
      <c r="P22" s="16" t="str">
        <v/>
      </c>
      <c r="Q22" s="17" t="str">
        <v/>
      </c>
      <c r="R22" s="18"/>
      <c r="S22" s="15" t="str">
        <v/>
      </c>
      <c r="T22" s="16" t="str">
        <v/>
      </c>
      <c r="U22" s="16" t="str">
        <v/>
      </c>
      <c r="V22" s="16" t="str">
        <v/>
      </c>
      <c r="W22" s="16" t="str">
        <v/>
      </c>
      <c r="X22" s="16" t="str">
        <v/>
      </c>
      <c r="Y22" s="17" t="str">
        <v/>
      </c>
      <c r="Z22" s="18"/>
      <c r="AA22" s="15" t="str">
        <v/>
      </c>
      <c r="AB22" s="16" t="str">
        <v/>
      </c>
      <c r="AC22" s="16" t="str">
        <v/>
      </c>
      <c r="AD22" s="16" t="str">
        <v/>
      </c>
      <c r="AE22" s="16" t="str">
        <v/>
      </c>
      <c r="AF22" s="16" t="str">
        <v/>
      </c>
      <c r="AG22" s="17" t="str">
        <v/>
      </c>
      <c r="AI22" s="26" t="str">
        <f>Calc!R29</f>
        <v/>
      </c>
      <c r="AJ22" s="27" t="str">
        <f>Calc!S29</f>
        <v/>
      </c>
    </row>
    <row r="23" spans="3:36" ht="27" customHeight="1" thickBot="1" x14ac:dyDescent="0.3"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I23" s="26" t="str">
        <f>Calc!R30</f>
        <v/>
      </c>
      <c r="AJ23" s="27" t="str">
        <f>Calc!S30</f>
        <v/>
      </c>
    </row>
    <row r="24" spans="3:36" ht="27" customHeight="1" x14ac:dyDescent="0.25">
      <c r="C24" s="20">
        <v>9</v>
      </c>
      <c r="D24" s="49" t="str">
        <f>TEXT(C27,"MMMM")</f>
        <v>September</v>
      </c>
      <c r="E24" s="50"/>
      <c r="F24" s="50"/>
      <c r="G24" s="50"/>
      <c r="H24" s="50"/>
      <c r="I24" s="51"/>
      <c r="J24" s="19"/>
      <c r="K24" s="20">
        <v>10</v>
      </c>
      <c r="L24" s="49" t="str">
        <f>TEXT(K27,"MMMM")</f>
        <v>October</v>
      </c>
      <c r="M24" s="50"/>
      <c r="N24" s="50"/>
      <c r="O24" s="50"/>
      <c r="P24" s="50"/>
      <c r="Q24" s="51"/>
      <c r="R24" s="19"/>
      <c r="S24" s="20">
        <v>11</v>
      </c>
      <c r="T24" s="49" t="str">
        <f>TEXT(S27,"MMMM")</f>
        <v>November</v>
      </c>
      <c r="U24" s="50"/>
      <c r="V24" s="50"/>
      <c r="W24" s="50"/>
      <c r="X24" s="50"/>
      <c r="Y24" s="51"/>
      <c r="Z24" s="19"/>
      <c r="AA24" s="20">
        <v>12</v>
      </c>
      <c r="AB24" s="49" t="str">
        <f>TEXT(AA27,"MMMM")</f>
        <v>December</v>
      </c>
      <c r="AC24" s="50"/>
      <c r="AD24" s="50"/>
      <c r="AE24" s="50"/>
      <c r="AF24" s="50"/>
      <c r="AG24" s="51"/>
      <c r="AI24" s="26" t="str">
        <f>Calc!R31</f>
        <v/>
      </c>
      <c r="AJ24" s="27" t="str">
        <f>Calc!S31</f>
        <v/>
      </c>
    </row>
    <row r="25" spans="3:36" ht="27" customHeight="1" x14ac:dyDescent="0.25">
      <c r="C25" s="9" t="str">
        <f>LEFT(TEXT(C27,"DDD"),1)</f>
        <v>M</v>
      </c>
      <c r="D25" s="10" t="str">
        <f t="shared" ref="D25:I25" si="8">LEFT(TEXT(D27,"DDD"),1)</f>
        <v>T</v>
      </c>
      <c r="E25" s="10" t="str">
        <f t="shared" si="8"/>
        <v>W</v>
      </c>
      <c r="F25" s="10" t="str">
        <f t="shared" si="8"/>
        <v>T</v>
      </c>
      <c r="G25" s="10" t="str">
        <f t="shared" si="8"/>
        <v>F</v>
      </c>
      <c r="H25" s="10" t="str">
        <f t="shared" si="8"/>
        <v>S</v>
      </c>
      <c r="I25" s="11" t="str">
        <f t="shared" si="8"/>
        <v>S</v>
      </c>
      <c r="J25" s="18"/>
      <c r="K25" s="9" t="str">
        <f>LEFT(TEXT(K27,"DDD"),1)</f>
        <v>M</v>
      </c>
      <c r="L25" s="10" t="str">
        <f t="shared" ref="L25:Q25" si="9">LEFT(TEXT(L27,"DDD"),1)</f>
        <v>T</v>
      </c>
      <c r="M25" s="10" t="str">
        <f t="shared" si="9"/>
        <v>W</v>
      </c>
      <c r="N25" s="10" t="str">
        <f t="shared" si="9"/>
        <v>T</v>
      </c>
      <c r="O25" s="10" t="str">
        <f t="shared" si="9"/>
        <v>F</v>
      </c>
      <c r="P25" s="10" t="str">
        <f t="shared" si="9"/>
        <v>S</v>
      </c>
      <c r="Q25" s="11" t="str">
        <f t="shared" si="9"/>
        <v>S</v>
      </c>
      <c r="R25" s="18"/>
      <c r="S25" s="9" t="str">
        <f>LEFT(TEXT(S27,"DDD"),1)</f>
        <v>M</v>
      </c>
      <c r="T25" s="10" t="str">
        <f t="shared" ref="T25:Y25" si="10">LEFT(TEXT(T27,"DDD"),1)</f>
        <v>T</v>
      </c>
      <c r="U25" s="10" t="str">
        <f t="shared" si="10"/>
        <v>W</v>
      </c>
      <c r="V25" s="10" t="str">
        <f t="shared" si="10"/>
        <v>T</v>
      </c>
      <c r="W25" s="10" t="str">
        <f t="shared" si="10"/>
        <v>F</v>
      </c>
      <c r="X25" s="10" t="str">
        <f t="shared" si="10"/>
        <v>S</v>
      </c>
      <c r="Y25" s="11" t="str">
        <f t="shared" si="10"/>
        <v>S</v>
      </c>
      <c r="Z25" s="18"/>
      <c r="AA25" s="9" t="str">
        <f>LEFT(TEXT(AA27,"DDD"),1)</f>
        <v>M</v>
      </c>
      <c r="AB25" s="10" t="str">
        <f t="shared" ref="AB25:AG25" si="11">LEFT(TEXT(AB27,"DDD"),1)</f>
        <v>T</v>
      </c>
      <c r="AC25" s="10" t="str">
        <f t="shared" si="11"/>
        <v>W</v>
      </c>
      <c r="AD25" s="10" t="str">
        <f t="shared" si="11"/>
        <v>T</v>
      </c>
      <c r="AE25" s="10" t="str">
        <f t="shared" si="11"/>
        <v>F</v>
      </c>
      <c r="AF25" s="10" t="str">
        <f t="shared" si="11"/>
        <v>S</v>
      </c>
      <c r="AG25" s="11" t="str">
        <f t="shared" si="11"/>
        <v>S</v>
      </c>
      <c r="AI25" s="26" t="str">
        <f>Calc!R32</f>
        <v/>
      </c>
      <c r="AJ25" s="27" t="str">
        <f>Calc!S32</f>
        <v/>
      </c>
    </row>
    <row r="26" spans="3:36" ht="27" customHeight="1" x14ac:dyDescent="0.25">
      <c r="C26" s="12" t="str" cm="1">
        <f t="array" ref="C26:I31">_xlfn.LET(_xlpm.dt, _xlfn._xlws.FILTER(monthly.calendar, month.nums=C24), IF(MONTH(_xlpm.dt)&lt;&gt;C24,"",_xlpm.dt))</f>
        <v/>
      </c>
      <c r="D26" s="13" t="str">
        <v/>
      </c>
      <c r="E26" s="13" t="str">
        <v/>
      </c>
      <c r="F26" s="13" t="str">
        <v/>
      </c>
      <c r="G26" s="13" t="str">
        <v/>
      </c>
      <c r="H26" s="13" t="str">
        <v/>
      </c>
      <c r="I26" s="14">
        <v>45536</v>
      </c>
      <c r="J26" s="18"/>
      <c r="K26" s="12" t="str" cm="1">
        <f t="array" ref="K26:Q31">_xlfn.LET(_xlpm.dt, _xlfn._xlws.FILTER(monthly.calendar, month.nums=K24), IF(MONTH(_xlpm.dt)&lt;&gt;K24,"",_xlpm.dt))</f>
        <v/>
      </c>
      <c r="L26" s="13">
        <v>45566</v>
      </c>
      <c r="M26" s="13">
        <v>45567</v>
      </c>
      <c r="N26" s="13">
        <v>45568</v>
      </c>
      <c r="O26" s="13">
        <v>45569</v>
      </c>
      <c r="P26" s="13">
        <v>45570</v>
      </c>
      <c r="Q26" s="14">
        <v>45571</v>
      </c>
      <c r="R26" s="18"/>
      <c r="S26" s="12" t="str" cm="1">
        <f t="array" ref="S26:Y31">_xlfn.LET(_xlpm.dt, _xlfn._xlws.FILTER(monthly.calendar, month.nums=S24), IF(MONTH(_xlpm.dt)&lt;&gt;S24,"",_xlpm.dt))</f>
        <v/>
      </c>
      <c r="T26" s="13" t="str">
        <v/>
      </c>
      <c r="U26" s="13" t="str">
        <v/>
      </c>
      <c r="V26" s="13" t="str">
        <v/>
      </c>
      <c r="W26" s="13">
        <v>45597</v>
      </c>
      <c r="X26" s="13">
        <v>45598</v>
      </c>
      <c r="Y26" s="14">
        <v>45599</v>
      </c>
      <c r="Z26" s="18"/>
      <c r="AA26" s="12" t="str" cm="1">
        <f t="array" ref="AA26:AG31">_xlfn.LET(_xlpm.dt, _xlfn._xlws.FILTER(monthly.calendar, month.nums=AA24), IF(MONTH(_xlpm.dt)&lt;&gt;AA24,"",_xlpm.dt))</f>
        <v/>
      </c>
      <c r="AB26" s="13" t="str">
        <v/>
      </c>
      <c r="AC26" s="13" t="str">
        <v/>
      </c>
      <c r="AD26" s="13" t="str">
        <v/>
      </c>
      <c r="AE26" s="13" t="str">
        <v/>
      </c>
      <c r="AF26" s="13" t="str">
        <v/>
      </c>
      <c r="AG26" s="14">
        <v>45627</v>
      </c>
      <c r="AI26" s="26" t="str">
        <f>Calc!R33</f>
        <v/>
      </c>
      <c r="AJ26" s="27" t="str">
        <f>Calc!S33</f>
        <v/>
      </c>
    </row>
    <row r="27" spans="3:36" ht="27" customHeight="1" x14ac:dyDescent="0.25">
      <c r="C27" s="12">
        <v>45537</v>
      </c>
      <c r="D27" s="13">
        <v>45538</v>
      </c>
      <c r="E27" s="13">
        <v>45539</v>
      </c>
      <c r="F27" s="13">
        <v>45540</v>
      </c>
      <c r="G27" s="13">
        <v>45541</v>
      </c>
      <c r="H27" s="13">
        <v>45542</v>
      </c>
      <c r="I27" s="14">
        <v>45543</v>
      </c>
      <c r="J27" s="18"/>
      <c r="K27" s="12">
        <v>45572</v>
      </c>
      <c r="L27" s="13">
        <v>45573</v>
      </c>
      <c r="M27" s="13">
        <v>45574</v>
      </c>
      <c r="N27" s="13">
        <v>45575</v>
      </c>
      <c r="O27" s="13">
        <v>45576</v>
      </c>
      <c r="P27" s="13">
        <v>45577</v>
      </c>
      <c r="Q27" s="14">
        <v>45578</v>
      </c>
      <c r="R27" s="18"/>
      <c r="S27" s="12">
        <v>45600</v>
      </c>
      <c r="T27" s="13">
        <v>45601</v>
      </c>
      <c r="U27" s="13">
        <v>45602</v>
      </c>
      <c r="V27" s="13">
        <v>45603</v>
      </c>
      <c r="W27" s="13">
        <v>45604</v>
      </c>
      <c r="X27" s="13">
        <v>45605</v>
      </c>
      <c r="Y27" s="14">
        <v>45606</v>
      </c>
      <c r="Z27" s="18"/>
      <c r="AA27" s="12">
        <v>45628</v>
      </c>
      <c r="AB27" s="13">
        <v>45629</v>
      </c>
      <c r="AC27" s="13">
        <v>45630</v>
      </c>
      <c r="AD27" s="13">
        <v>45631</v>
      </c>
      <c r="AE27" s="13">
        <v>45632</v>
      </c>
      <c r="AF27" s="13">
        <v>45633</v>
      </c>
      <c r="AG27" s="14">
        <v>45634</v>
      </c>
      <c r="AI27" s="26" t="str">
        <f>Calc!R34</f>
        <v/>
      </c>
      <c r="AJ27" s="27" t="str">
        <f>Calc!S34</f>
        <v/>
      </c>
    </row>
    <row r="28" spans="3:36" ht="27" customHeight="1" x14ac:dyDescent="0.25">
      <c r="C28" s="12">
        <v>45544</v>
      </c>
      <c r="D28" s="13">
        <v>45545</v>
      </c>
      <c r="E28" s="13">
        <v>45546</v>
      </c>
      <c r="F28" s="13">
        <v>45547</v>
      </c>
      <c r="G28" s="13">
        <v>45548</v>
      </c>
      <c r="H28" s="13">
        <v>45549</v>
      </c>
      <c r="I28" s="14">
        <v>45550</v>
      </c>
      <c r="J28" s="18"/>
      <c r="K28" s="12">
        <v>45579</v>
      </c>
      <c r="L28" s="13">
        <v>45580</v>
      </c>
      <c r="M28" s="13">
        <v>45581</v>
      </c>
      <c r="N28" s="13">
        <v>45582</v>
      </c>
      <c r="O28" s="13">
        <v>45583</v>
      </c>
      <c r="P28" s="13">
        <v>45584</v>
      </c>
      <c r="Q28" s="14">
        <v>45585</v>
      </c>
      <c r="R28" s="18"/>
      <c r="S28" s="12">
        <v>45607</v>
      </c>
      <c r="T28" s="13">
        <v>45608</v>
      </c>
      <c r="U28" s="13">
        <v>45609</v>
      </c>
      <c r="V28" s="13">
        <v>45610</v>
      </c>
      <c r="W28" s="13">
        <v>45611</v>
      </c>
      <c r="X28" s="13">
        <v>45612</v>
      </c>
      <c r="Y28" s="14">
        <v>45613</v>
      </c>
      <c r="Z28" s="18"/>
      <c r="AA28" s="12">
        <v>45635</v>
      </c>
      <c r="AB28" s="13">
        <v>45636</v>
      </c>
      <c r="AC28" s="13">
        <v>45637</v>
      </c>
      <c r="AD28" s="13">
        <v>45638</v>
      </c>
      <c r="AE28" s="13">
        <v>45639</v>
      </c>
      <c r="AF28" s="13">
        <v>45640</v>
      </c>
      <c r="AG28" s="14">
        <v>45641</v>
      </c>
      <c r="AI28" s="26" t="str">
        <f>Calc!R35</f>
        <v/>
      </c>
      <c r="AJ28" s="27" t="str">
        <f>Calc!S35</f>
        <v/>
      </c>
    </row>
    <row r="29" spans="3:36" ht="27" customHeight="1" x14ac:dyDescent="0.25">
      <c r="C29" s="12">
        <v>45551</v>
      </c>
      <c r="D29" s="13">
        <v>45552</v>
      </c>
      <c r="E29" s="13">
        <v>45553</v>
      </c>
      <c r="F29" s="13">
        <v>45554</v>
      </c>
      <c r="G29" s="13">
        <v>45555</v>
      </c>
      <c r="H29" s="13">
        <v>45556</v>
      </c>
      <c r="I29" s="14">
        <v>45557</v>
      </c>
      <c r="J29" s="18"/>
      <c r="K29" s="12">
        <v>45586</v>
      </c>
      <c r="L29" s="13">
        <v>45587</v>
      </c>
      <c r="M29" s="13">
        <v>45588</v>
      </c>
      <c r="N29" s="13">
        <v>45589</v>
      </c>
      <c r="O29" s="13">
        <v>45590</v>
      </c>
      <c r="P29" s="13">
        <v>45591</v>
      </c>
      <c r="Q29" s="14">
        <v>45592</v>
      </c>
      <c r="R29" s="18"/>
      <c r="S29" s="12">
        <v>45614</v>
      </c>
      <c r="T29" s="13">
        <v>45615</v>
      </c>
      <c r="U29" s="13">
        <v>45616</v>
      </c>
      <c r="V29" s="13">
        <v>45617</v>
      </c>
      <c r="W29" s="13">
        <v>45618</v>
      </c>
      <c r="X29" s="13">
        <v>45619</v>
      </c>
      <c r="Y29" s="14">
        <v>45620</v>
      </c>
      <c r="Z29" s="18"/>
      <c r="AA29" s="12">
        <v>45642</v>
      </c>
      <c r="AB29" s="13">
        <v>45643</v>
      </c>
      <c r="AC29" s="13">
        <v>45644</v>
      </c>
      <c r="AD29" s="13">
        <v>45645</v>
      </c>
      <c r="AE29" s="13">
        <v>45646</v>
      </c>
      <c r="AF29" s="13">
        <v>45647</v>
      </c>
      <c r="AG29" s="14">
        <v>45648</v>
      </c>
      <c r="AI29" s="26" t="str">
        <f>Calc!R36</f>
        <v/>
      </c>
      <c r="AJ29" s="27" t="str">
        <f>Calc!S36</f>
        <v/>
      </c>
    </row>
    <row r="30" spans="3:36" ht="27" customHeight="1" x14ac:dyDescent="0.25">
      <c r="C30" s="12">
        <v>45558</v>
      </c>
      <c r="D30" s="13">
        <v>45559</v>
      </c>
      <c r="E30" s="13">
        <v>45560</v>
      </c>
      <c r="F30" s="13">
        <v>45561</v>
      </c>
      <c r="G30" s="13">
        <v>45562</v>
      </c>
      <c r="H30" s="13">
        <v>45563</v>
      </c>
      <c r="I30" s="14">
        <v>45564</v>
      </c>
      <c r="J30" s="18"/>
      <c r="K30" s="12">
        <v>45593</v>
      </c>
      <c r="L30" s="13">
        <v>45594</v>
      </c>
      <c r="M30" s="13">
        <v>45595</v>
      </c>
      <c r="N30" s="13">
        <v>45596</v>
      </c>
      <c r="O30" s="13" t="str">
        <v/>
      </c>
      <c r="P30" s="13" t="str">
        <v/>
      </c>
      <c r="Q30" s="14" t="str">
        <v/>
      </c>
      <c r="R30" s="18"/>
      <c r="S30" s="12">
        <v>45621</v>
      </c>
      <c r="T30" s="13">
        <v>45622</v>
      </c>
      <c r="U30" s="13">
        <v>45623</v>
      </c>
      <c r="V30" s="13">
        <v>45624</v>
      </c>
      <c r="W30" s="13">
        <v>45625</v>
      </c>
      <c r="X30" s="13">
        <v>45626</v>
      </c>
      <c r="Y30" s="14" t="str">
        <v/>
      </c>
      <c r="Z30" s="18"/>
      <c r="AA30" s="12">
        <v>45649</v>
      </c>
      <c r="AB30" s="13">
        <v>45650</v>
      </c>
      <c r="AC30" s="13">
        <v>45651</v>
      </c>
      <c r="AD30" s="13">
        <v>45652</v>
      </c>
      <c r="AE30" s="13">
        <v>45653</v>
      </c>
      <c r="AF30" s="13">
        <v>45654</v>
      </c>
      <c r="AG30" s="14">
        <v>45655</v>
      </c>
      <c r="AI30" s="28" t="str">
        <f>Calc!R37</f>
        <v/>
      </c>
      <c r="AJ30" s="29" t="str">
        <f>Calc!S37</f>
        <v/>
      </c>
    </row>
    <row r="31" spans="3:36" ht="27" customHeight="1" thickBot="1" x14ac:dyDescent="0.3">
      <c r="C31" s="15">
        <v>45565</v>
      </c>
      <c r="D31" s="16" t="str">
        <v/>
      </c>
      <c r="E31" s="16" t="str">
        <v/>
      </c>
      <c r="F31" s="16" t="str">
        <v/>
      </c>
      <c r="G31" s="16" t="str">
        <v/>
      </c>
      <c r="H31" s="16" t="str">
        <v/>
      </c>
      <c r="I31" s="17" t="str">
        <v/>
      </c>
      <c r="J31" s="18"/>
      <c r="K31" s="15" t="str">
        <v/>
      </c>
      <c r="L31" s="16" t="str">
        <v/>
      </c>
      <c r="M31" s="16" t="str">
        <v/>
      </c>
      <c r="N31" s="16" t="str">
        <v/>
      </c>
      <c r="O31" s="16" t="str">
        <v/>
      </c>
      <c r="P31" s="16" t="str">
        <v/>
      </c>
      <c r="Q31" s="17" t="str">
        <v/>
      </c>
      <c r="R31" s="18"/>
      <c r="S31" s="15" t="str">
        <v/>
      </c>
      <c r="T31" s="16" t="str">
        <v/>
      </c>
      <c r="U31" s="16" t="str">
        <v/>
      </c>
      <c r="V31" s="16" t="str">
        <v/>
      </c>
      <c r="W31" s="16" t="str">
        <v/>
      </c>
      <c r="X31" s="16" t="str">
        <v/>
      </c>
      <c r="Y31" s="17" t="str">
        <v/>
      </c>
      <c r="Z31" s="18"/>
      <c r="AA31" s="15">
        <v>45656</v>
      </c>
      <c r="AB31" s="16">
        <v>45657</v>
      </c>
      <c r="AC31" s="16" t="str">
        <v/>
      </c>
      <c r="AD31" s="16" t="str">
        <v/>
      </c>
      <c r="AE31" s="16" t="str">
        <v/>
      </c>
      <c r="AF31" s="16" t="str">
        <v/>
      </c>
      <c r="AG31" s="17" t="str">
        <v/>
      </c>
    </row>
  </sheetData>
  <mergeCells count="14">
    <mergeCell ref="D24:I24"/>
    <mergeCell ref="L24:Q24"/>
    <mergeCell ref="T24:Y24"/>
    <mergeCell ref="AB24:AG24"/>
    <mergeCell ref="D6:I6"/>
    <mergeCell ref="L6:Q6"/>
    <mergeCell ref="T6:Y6"/>
    <mergeCell ref="AB6:AG6"/>
    <mergeCell ref="AI4:AJ4"/>
    <mergeCell ref="C4:AG4"/>
    <mergeCell ref="D15:I15"/>
    <mergeCell ref="L15:Q15"/>
    <mergeCell ref="T15:Y15"/>
    <mergeCell ref="AB15:AG15"/>
  </mergeCells>
  <conditionalFormatting sqref="C8:I13">
    <cfRule type="expression" dxfId="25" priority="23">
      <formula>AND(show.planner="Yes", COUNTIFS(planner_dates,C8))</formula>
    </cfRule>
    <cfRule type="expression" dxfId="24" priority="46">
      <formula>AND(C8&lt;&gt;"", NETWORKDAYS.INTL(C8,C8,weekend.type, holiday_dates)=0)</formula>
    </cfRule>
  </conditionalFormatting>
  <conditionalFormatting sqref="C17:I22">
    <cfRule type="expression" dxfId="23" priority="15">
      <formula>AND(show.planner="Yes", COUNTIFS(planner_dates,C17))</formula>
    </cfRule>
    <cfRule type="expression" dxfId="22" priority="16">
      <formula>AND(C17&lt;&gt;"", NETWORKDAYS.INTL(C17,C17,weekend.type, holiday_dates)=0)</formula>
    </cfRule>
  </conditionalFormatting>
  <conditionalFormatting sqref="C26:I31">
    <cfRule type="expression" dxfId="21" priority="7">
      <formula>AND(show.planner="Yes", COUNTIFS(planner_dates,C26))</formula>
    </cfRule>
    <cfRule type="expression" dxfId="20" priority="8">
      <formula>AND(C26&lt;&gt;"", NETWORKDAYS.INTL(C26,C26,weekend.type, holiday_dates)=0)</formula>
    </cfRule>
  </conditionalFormatting>
  <conditionalFormatting sqref="K8:Q13">
    <cfRule type="expression" dxfId="19" priority="21">
      <formula>AND(show.planner="Yes", COUNTIFS(planner_dates,K8))</formula>
    </cfRule>
    <cfRule type="expression" dxfId="18" priority="22">
      <formula>AND(K8&lt;&gt;"", NETWORKDAYS.INTL(K8,K8,weekend.type, holiday_dates)=0)</formula>
    </cfRule>
  </conditionalFormatting>
  <conditionalFormatting sqref="K17:Q22">
    <cfRule type="expression" dxfId="17" priority="13">
      <formula>AND(show.planner="Yes", COUNTIFS(planner_dates,K17))</formula>
    </cfRule>
    <cfRule type="expression" dxfId="16" priority="14">
      <formula>AND(K17&lt;&gt;"", NETWORKDAYS.INTL(K17,K17,weekend.type, holiday_dates)=0)</formula>
    </cfRule>
  </conditionalFormatting>
  <conditionalFormatting sqref="K26:Q31">
    <cfRule type="expression" dxfId="15" priority="5">
      <formula>AND(show.planner="Yes", COUNTIFS(planner_dates,K26))</formula>
    </cfRule>
    <cfRule type="expression" dxfId="14" priority="6">
      <formula>AND(K26&lt;&gt;"", NETWORKDAYS.INTL(K26,K26,weekend.type, holiday_dates)=0)</formula>
    </cfRule>
  </conditionalFormatting>
  <conditionalFormatting sqref="S8:Y13">
    <cfRule type="expression" dxfId="13" priority="19">
      <formula>AND(show.planner="Yes", COUNTIFS(planner_dates,S8))</formula>
    </cfRule>
    <cfRule type="expression" dxfId="12" priority="20">
      <formula>AND(S8&lt;&gt;"", NETWORKDAYS.INTL(S8,S8,weekend.type, holiday_dates)=0)</formula>
    </cfRule>
  </conditionalFormatting>
  <conditionalFormatting sqref="S17:Y22">
    <cfRule type="expression" dxfId="11" priority="11">
      <formula>AND(show.planner="Yes", COUNTIFS(planner_dates,S17))</formula>
    </cfRule>
    <cfRule type="expression" dxfId="10" priority="12">
      <formula>AND(S17&lt;&gt;"", NETWORKDAYS.INTL(S17,S17,weekend.type, holiday_dates)=0)</formula>
    </cfRule>
  </conditionalFormatting>
  <conditionalFormatting sqref="S26:Y31">
    <cfRule type="expression" dxfId="9" priority="3">
      <formula>AND(show.planner="Yes", COUNTIFS(planner_dates,S26))</formula>
    </cfRule>
    <cfRule type="expression" dxfId="8" priority="4">
      <formula>AND(S26&lt;&gt;"", NETWORKDAYS.INTL(S26,S26,weekend.type, holiday_dates)=0)</formula>
    </cfRule>
  </conditionalFormatting>
  <conditionalFormatting sqref="AA8:AG13">
    <cfRule type="expression" dxfId="7" priority="17">
      <formula>AND(show.planner="Yes", COUNTIFS(planner_dates,AA8))</formula>
    </cfRule>
    <cfRule type="expression" dxfId="6" priority="18">
      <formula>AND(AA8&lt;&gt;"", NETWORKDAYS.INTL(AA8,AA8,weekend.type, holiday_dates)=0)</formula>
    </cfRule>
  </conditionalFormatting>
  <conditionalFormatting sqref="AA17:AG22">
    <cfRule type="expression" dxfId="5" priority="9">
      <formula>AND(show.planner="Yes", COUNTIFS(planner_dates,AA17))</formula>
    </cfRule>
    <cfRule type="expression" dxfId="4" priority="10">
      <formula>AND(AA17&lt;&gt;"", NETWORKDAYS.INTL(AA17,AA17,weekend.type, holiday_dates)=0)</formula>
    </cfRule>
  </conditionalFormatting>
  <conditionalFormatting sqref="AA26:AG31">
    <cfRule type="expression" dxfId="3" priority="1">
      <formula>AND(show.planner="Yes", COUNTIFS(planner_dates,AA26))</formula>
    </cfRule>
    <cfRule type="expression" dxfId="2" priority="2">
      <formula>AND(AA26&lt;&gt;"", NETWORKDAYS.INTL(AA26,AA26,weekend.type, holiday_dates)=0)</formula>
    </cfRule>
  </conditionalFormatting>
  <pageMargins left="0.25" right="0.25" top="0.75" bottom="0.75" header="0.3" footer="0.3"/>
  <pageSetup scale="5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4AE2-9F58-4365-937C-75771A6249C3}">
  <sheetPr>
    <tabColor theme="9"/>
    <pageSetUpPr fitToPage="1"/>
  </sheetPr>
  <dimension ref="A1:I18"/>
  <sheetViews>
    <sheetView showGridLines="0" zoomScaleNormal="100" workbookViewId="0">
      <selection activeCell="C3" sqref="C3"/>
    </sheetView>
  </sheetViews>
  <sheetFormatPr defaultRowHeight="15" x14ac:dyDescent="0.25"/>
  <cols>
    <col min="1" max="1" width="1.140625" customWidth="1"/>
    <col min="2" max="2" width="3.140625" customWidth="1"/>
    <col min="3" max="9" width="20.42578125" customWidth="1"/>
    <col min="10" max="10" width="3.28515625" customWidth="1"/>
  </cols>
  <sheetData>
    <row r="1" spans="1:9" s="1" customFormat="1" ht="52.5" customHeight="1" x14ac:dyDescent="0.25">
      <c r="A1" s="43"/>
      <c r="C1" s="2" t="s">
        <v>49</v>
      </c>
      <c r="D1" s="2"/>
    </row>
    <row r="2" spans="1:9" ht="15.75" thickBot="1" x14ac:dyDescent="0.3"/>
    <row r="3" spans="1:9" ht="18.75" x14ac:dyDescent="0.25">
      <c r="C3" s="37">
        <v>1</v>
      </c>
      <c r="D3" s="42" t="s">
        <v>48</v>
      </c>
    </row>
    <row r="4" spans="1:9" ht="15.75" thickBot="1" x14ac:dyDescent="0.3"/>
    <row r="5" spans="1:9" ht="23.25" x14ac:dyDescent="0.25">
      <c r="C5" s="52" t="str">
        <f>TEXT(C9,"MMMM YYYY")</f>
        <v>January 2024</v>
      </c>
      <c r="D5" s="50"/>
      <c r="E5" s="50"/>
      <c r="F5" s="50"/>
      <c r="G5" s="50"/>
      <c r="H5" s="50"/>
      <c r="I5" s="51"/>
    </row>
    <row r="6" spans="1:9" ht="19.5" thickBot="1" x14ac:dyDescent="0.3">
      <c r="C6" s="34" t="str">
        <f>LEFT(TEXT(C9,"DDD"),1)</f>
        <v>M</v>
      </c>
      <c r="D6" s="10" t="str">
        <f t="shared" ref="D6:I6" si="0">LEFT(TEXT(D9,"DDD"),1)</f>
        <v>T</v>
      </c>
      <c r="E6" s="10" t="str">
        <f t="shared" si="0"/>
        <v>W</v>
      </c>
      <c r="F6" s="10" t="str">
        <f t="shared" si="0"/>
        <v>T</v>
      </c>
      <c r="G6" s="10" t="str">
        <f t="shared" si="0"/>
        <v>F</v>
      </c>
      <c r="H6" s="10" t="str">
        <f t="shared" si="0"/>
        <v>S</v>
      </c>
      <c r="I6" s="11" t="str">
        <f t="shared" si="0"/>
        <v>S</v>
      </c>
    </row>
    <row r="7" spans="1:9" ht="28.9" customHeight="1" x14ac:dyDescent="0.25">
      <c r="C7" s="38">
        <f>Calc!Z13</f>
        <v>45292</v>
      </c>
      <c r="D7" s="38">
        <f>Calc!AA13</f>
        <v>45293</v>
      </c>
      <c r="E7" s="38">
        <f>Calc!AB13</f>
        <v>45294</v>
      </c>
      <c r="F7" s="38">
        <f>Calc!AC13</f>
        <v>45295</v>
      </c>
      <c r="G7" s="38">
        <f>Calc!AD13</f>
        <v>45296</v>
      </c>
      <c r="H7" s="38">
        <f>Calc!AE13</f>
        <v>45297</v>
      </c>
      <c r="I7" s="39">
        <f>Calc!AF13</f>
        <v>45298</v>
      </c>
    </row>
    <row r="8" spans="1:9" ht="55.15" customHeight="1" thickBot="1" x14ac:dyDescent="0.3">
      <c r="C8" s="40" t="str">
        <f>Calc!Z31</f>
        <v/>
      </c>
      <c r="D8" s="40" t="str">
        <f>Calc!AA31</f>
        <v/>
      </c>
      <c r="E8" s="40" t="str">
        <f>Calc!AB31</f>
        <v/>
      </c>
      <c r="F8" s="40" t="str">
        <f>Calc!AC31</f>
        <v/>
      </c>
      <c r="G8" s="40" t="str">
        <f>Calc!AD31</f>
        <v/>
      </c>
      <c r="H8" s="40" t="str">
        <f>Calc!AE31</f>
        <v/>
      </c>
      <c r="I8" s="41" t="str">
        <f>Calc!AF31</f>
        <v/>
      </c>
    </row>
    <row r="9" spans="1:9" ht="28.9" customHeight="1" x14ac:dyDescent="0.25">
      <c r="C9" s="38">
        <f>Calc!Z14</f>
        <v>45299</v>
      </c>
      <c r="D9" s="38">
        <f>Calc!AA14</f>
        <v>45300</v>
      </c>
      <c r="E9" s="38">
        <f>Calc!AB14</f>
        <v>45301</v>
      </c>
      <c r="F9" s="38">
        <f>Calc!AC14</f>
        <v>45302</v>
      </c>
      <c r="G9" s="38">
        <f>Calc!AD14</f>
        <v>45303</v>
      </c>
      <c r="H9" s="38">
        <f>Calc!AE14</f>
        <v>45304</v>
      </c>
      <c r="I9" s="39">
        <f>Calc!AF14</f>
        <v>45305</v>
      </c>
    </row>
    <row r="10" spans="1:9" ht="55.15" customHeight="1" thickBot="1" x14ac:dyDescent="0.3">
      <c r="C10" s="40" t="str">
        <f>Calc!Z32</f>
        <v/>
      </c>
      <c r="D10" s="40" t="str">
        <f>Calc!AA32</f>
        <v/>
      </c>
      <c r="E10" s="40" t="str">
        <f>Calc!AB32</f>
        <v>✈Flight to Wellington
🎉Another Thing</v>
      </c>
      <c r="F10" s="40" t="str">
        <f>Calc!AC32</f>
        <v/>
      </c>
      <c r="G10" s="40" t="str">
        <f>Calc!AD32</f>
        <v/>
      </c>
      <c r="H10" s="40" t="str">
        <f>Calc!AE32</f>
        <v/>
      </c>
      <c r="I10" s="41" t="str">
        <f>Calc!AF32</f>
        <v/>
      </c>
    </row>
    <row r="11" spans="1:9" ht="28.9" customHeight="1" x14ac:dyDescent="0.25">
      <c r="C11" s="38">
        <f>Calc!Z15</f>
        <v>45306</v>
      </c>
      <c r="D11" s="38">
        <f>Calc!AA15</f>
        <v>45307</v>
      </c>
      <c r="E11" s="38">
        <f>Calc!AB15</f>
        <v>45308</v>
      </c>
      <c r="F11" s="38">
        <f>Calc!AC15</f>
        <v>45309</v>
      </c>
      <c r="G11" s="38">
        <f>Calc!AD15</f>
        <v>45310</v>
      </c>
      <c r="H11" s="38">
        <f>Calc!AE15</f>
        <v>45311</v>
      </c>
      <c r="I11" s="39">
        <f>Calc!AF15</f>
        <v>45312</v>
      </c>
    </row>
    <row r="12" spans="1:9" ht="55.15" customHeight="1" thickBot="1" x14ac:dyDescent="0.3">
      <c r="C12" s="40" t="str">
        <f>Calc!Z33</f>
        <v/>
      </c>
      <c r="D12" s="40" t="str">
        <f>Calc!AA33</f>
        <v/>
      </c>
      <c r="E12" s="40" t="str">
        <f>Calc!AB33</f>
        <v/>
      </c>
      <c r="F12" s="40" t="str">
        <f>Calc!AC33</f>
        <v/>
      </c>
      <c r="G12" s="40" t="str">
        <f>Calc!AD33</f>
        <v/>
      </c>
      <c r="H12" s="40" t="str">
        <f>Calc!AE33</f>
        <v/>
      </c>
      <c r="I12" s="41" t="str">
        <f>Calc!AF33</f>
        <v>🎂Wedding Anniversary</v>
      </c>
    </row>
    <row r="13" spans="1:9" ht="28.9" customHeight="1" x14ac:dyDescent="0.25">
      <c r="C13" s="38">
        <f>Calc!Z16</f>
        <v>45313</v>
      </c>
      <c r="D13" s="38">
        <f>Calc!AA16</f>
        <v>45314</v>
      </c>
      <c r="E13" s="38">
        <f>Calc!AB16</f>
        <v>45315</v>
      </c>
      <c r="F13" s="38">
        <f>Calc!AC16</f>
        <v>45316</v>
      </c>
      <c r="G13" s="38">
        <f>Calc!AD16</f>
        <v>45317</v>
      </c>
      <c r="H13" s="38">
        <f>Calc!AE16</f>
        <v>45318</v>
      </c>
      <c r="I13" s="39">
        <f>Calc!AF16</f>
        <v>45319</v>
      </c>
    </row>
    <row r="14" spans="1:9" ht="55.15" customHeight="1" thickBot="1" x14ac:dyDescent="0.3">
      <c r="C14" s="40" t="str">
        <f>Calc!Z34</f>
        <v/>
      </c>
      <c r="D14" s="40" t="str">
        <f>Calc!AA34</f>
        <v/>
      </c>
      <c r="E14" s="40" t="str">
        <f>Calc!AB34</f>
        <v/>
      </c>
      <c r="F14" s="40" t="str">
        <f>Calc!AC34</f>
        <v/>
      </c>
      <c r="G14" s="40" t="str">
        <f>Calc!AD34</f>
        <v/>
      </c>
      <c r="H14" s="40" t="str">
        <f>Calc!AE34</f>
        <v/>
      </c>
      <c r="I14" s="41" t="str">
        <f>Calc!AF34</f>
        <v/>
      </c>
    </row>
    <row r="15" spans="1:9" ht="28.9" customHeight="1" x14ac:dyDescent="0.25">
      <c r="C15" s="38">
        <f>Calc!Z17</f>
        <v>45320</v>
      </c>
      <c r="D15" s="38">
        <f>Calc!AA17</f>
        <v>45321</v>
      </c>
      <c r="E15" s="38">
        <f>Calc!AB17</f>
        <v>45322</v>
      </c>
      <c r="F15" s="38" t="str">
        <f>Calc!AC17</f>
        <v/>
      </c>
      <c r="G15" s="38" t="str">
        <f>Calc!AD17</f>
        <v/>
      </c>
      <c r="H15" s="38" t="str">
        <f>Calc!AE17</f>
        <v/>
      </c>
      <c r="I15" s="39" t="str">
        <f>Calc!AF17</f>
        <v/>
      </c>
    </row>
    <row r="16" spans="1:9" ht="55.15" customHeight="1" thickBot="1" x14ac:dyDescent="0.3">
      <c r="C16" s="40" t="str">
        <f>Calc!Z35</f>
        <v>👨‍👧‍👦School Reopens
⏱Order Team Lunches</v>
      </c>
      <c r="D16" s="40" t="str">
        <f>Calc!AA35</f>
        <v/>
      </c>
      <c r="E16" s="40" t="str">
        <f>Calc!AB35</f>
        <v/>
      </c>
      <c r="F16" s="40" t="str">
        <f>Calc!AC35</f>
        <v/>
      </c>
      <c r="G16" s="40" t="str">
        <f>Calc!AD35</f>
        <v/>
      </c>
      <c r="H16" s="40" t="str">
        <f>Calc!AE35</f>
        <v/>
      </c>
      <c r="I16" s="41" t="str">
        <f>Calc!AF35</f>
        <v/>
      </c>
    </row>
    <row r="17" spans="3:9" ht="28.9" customHeight="1" x14ac:dyDescent="0.25">
      <c r="C17" s="38" t="str">
        <f>Calc!Z18</f>
        <v/>
      </c>
      <c r="D17" s="38" t="str">
        <f>Calc!AA18</f>
        <v/>
      </c>
      <c r="E17" s="38" t="str">
        <f>Calc!AB18</f>
        <v/>
      </c>
      <c r="F17" s="38" t="str">
        <f>Calc!AC18</f>
        <v/>
      </c>
      <c r="G17" s="38" t="str">
        <f>Calc!AD18</f>
        <v/>
      </c>
      <c r="H17" s="38" t="str">
        <f>Calc!AE18</f>
        <v/>
      </c>
      <c r="I17" s="39" t="str">
        <f>Calc!AF18</f>
        <v/>
      </c>
    </row>
    <row r="18" spans="3:9" ht="55.15" customHeight="1" thickBot="1" x14ac:dyDescent="0.3">
      <c r="C18" s="40" t="str">
        <f>Calc!Z36</f>
        <v/>
      </c>
      <c r="D18" s="40" t="str">
        <f>Calc!AA36</f>
        <v/>
      </c>
      <c r="E18" s="40" t="str">
        <f>Calc!AB36</f>
        <v/>
      </c>
      <c r="F18" s="40" t="str">
        <f>Calc!AC36</f>
        <v/>
      </c>
      <c r="G18" s="40" t="str">
        <f>Calc!AD36</f>
        <v/>
      </c>
      <c r="H18" s="40" t="str">
        <f>Calc!AE36</f>
        <v/>
      </c>
      <c r="I18" s="41" t="str">
        <f>Calc!AF36</f>
        <v/>
      </c>
    </row>
  </sheetData>
  <mergeCells count="1">
    <mergeCell ref="C5:I5"/>
  </mergeCells>
  <conditionalFormatting sqref="C7:I18">
    <cfRule type="expression" dxfId="1" priority="1">
      <formula>IF(ISNUMBER(C7), AND(C7&lt;&gt;"", NETWORKDAYS.INTL(C7,C7,weekend.type, holiday_dates)=0), AND(C6&lt;&gt;"", NETWORKDAYS.INTL(C6,C6,weekend.type, holiday_dates)=0))</formula>
    </cfRule>
    <cfRule type="expression" dxfId="0" priority="2">
      <formula>AND(show.planner="Yes",IF(ISNUMBER(C7),COUNTIFS(planner_dates,C7),COUNTIFS(planner_dates,C6)))</formula>
    </cfRule>
  </conditionalFormatting>
  <dataValidations count="1">
    <dataValidation type="list" allowBlank="1" showInputMessage="1" showErrorMessage="1" sqref="C3" xr:uid="{9690FC1F-830B-4F21-B09C-572CD41AEAF3}">
      <formula1>months.list</formula1>
    </dataValidation>
  </dataValidations>
  <printOptions horizontalCentered="1" verticalCentered="1"/>
  <pageMargins left="0.25" right="0.25" top="0.75" bottom="0.75" header="0.3" footer="0.3"/>
  <pageSetup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332E-93A3-45F4-8396-D7BB3D18FAC3}">
  <sheetPr>
    <tabColor theme="4"/>
  </sheetPr>
  <dimension ref="A1:E14"/>
  <sheetViews>
    <sheetView showGridLines="0" zoomScale="115" zoomScaleNormal="115" workbookViewId="0">
      <selection activeCell="E14" sqref="E14"/>
    </sheetView>
  </sheetViews>
  <sheetFormatPr defaultRowHeight="15" x14ac:dyDescent="0.25"/>
  <cols>
    <col min="1" max="1" width="1.7109375" customWidth="1"/>
    <col min="2" max="2" width="3.7109375" customWidth="1"/>
    <col min="3" max="3" width="14.5703125" customWidth="1"/>
    <col min="4" max="4" width="29.7109375" customWidth="1"/>
    <col min="5" max="5" width="14.85546875" customWidth="1"/>
    <col min="6" max="6" width="7.85546875" customWidth="1"/>
  </cols>
  <sheetData>
    <row r="1" spans="1:5" s="1" customFormat="1" ht="52.5" customHeight="1" x14ac:dyDescent="0.25">
      <c r="A1" s="22"/>
      <c r="C1" s="2" t="s">
        <v>37</v>
      </c>
    </row>
    <row r="4" spans="1:5" x14ac:dyDescent="0.25">
      <c r="C4" t="s">
        <v>5</v>
      </c>
      <c r="D4" t="s">
        <v>6</v>
      </c>
      <c r="E4" t="s">
        <v>22</v>
      </c>
    </row>
    <row r="5" spans="1:5" x14ac:dyDescent="0.25">
      <c r="C5" s="21">
        <v>45301</v>
      </c>
      <c r="D5" t="s">
        <v>61</v>
      </c>
      <c r="E5" t="s">
        <v>16</v>
      </c>
    </row>
    <row r="6" spans="1:5" x14ac:dyDescent="0.25">
      <c r="C6" s="21">
        <v>45312</v>
      </c>
      <c r="D6" t="s">
        <v>24</v>
      </c>
      <c r="E6" t="s">
        <v>18</v>
      </c>
    </row>
    <row r="7" spans="1:5" x14ac:dyDescent="0.25">
      <c r="C7" s="21">
        <v>45320</v>
      </c>
      <c r="D7" t="s">
        <v>62</v>
      </c>
      <c r="E7" t="s">
        <v>26</v>
      </c>
    </row>
    <row r="8" spans="1:5" x14ac:dyDescent="0.25">
      <c r="C8" s="21">
        <v>45328</v>
      </c>
      <c r="D8" t="s">
        <v>63</v>
      </c>
      <c r="E8" t="s">
        <v>23</v>
      </c>
    </row>
    <row r="9" spans="1:5" x14ac:dyDescent="0.25">
      <c r="C9" s="21">
        <v>45348</v>
      </c>
      <c r="D9" t="s">
        <v>64</v>
      </c>
      <c r="E9" t="s">
        <v>20</v>
      </c>
    </row>
    <row r="10" spans="1:5" x14ac:dyDescent="0.25">
      <c r="C10" s="21">
        <v>45395</v>
      </c>
      <c r="D10" t="s">
        <v>65</v>
      </c>
      <c r="E10" t="s">
        <v>19</v>
      </c>
    </row>
    <row r="11" spans="1:5" x14ac:dyDescent="0.25">
      <c r="C11" s="21">
        <v>45479</v>
      </c>
      <c r="D11" t="s">
        <v>66</v>
      </c>
      <c r="E11" t="s">
        <v>16</v>
      </c>
    </row>
    <row r="12" spans="1:5" x14ac:dyDescent="0.25">
      <c r="C12" s="21">
        <v>45559</v>
      </c>
      <c r="D12" t="s">
        <v>67</v>
      </c>
      <c r="E12" t="s">
        <v>18</v>
      </c>
    </row>
    <row r="13" spans="1:5" x14ac:dyDescent="0.25">
      <c r="C13" s="21">
        <v>45301</v>
      </c>
      <c r="D13" t="s">
        <v>69</v>
      </c>
      <c r="E13" t="s">
        <v>19</v>
      </c>
    </row>
    <row r="14" spans="1:5" x14ac:dyDescent="0.25">
      <c r="C14" s="21">
        <v>45320</v>
      </c>
      <c r="D14" t="s">
        <v>70</v>
      </c>
      <c r="E14" t="s">
        <v>20</v>
      </c>
    </row>
  </sheetData>
  <dataValidations count="1">
    <dataValidation type="list" allowBlank="1" showInputMessage="1" showErrorMessage="1" sqref="E5:E14" xr:uid="{E49C7543-1A72-48EB-87F6-CF3FE3D725F6}">
      <formula1>icon_types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7CC5-69D3-432B-9C1E-D9C37C868938}">
  <dimension ref="A1:K15"/>
  <sheetViews>
    <sheetView zoomScale="145" zoomScaleNormal="145" workbookViewId="0">
      <selection activeCell="D8" sqref="D8"/>
    </sheetView>
  </sheetViews>
  <sheetFormatPr defaultRowHeight="15" x14ac:dyDescent="0.25"/>
  <cols>
    <col min="1" max="1" width="1.5703125" customWidth="1"/>
    <col min="2" max="2" width="22.140625" bestFit="1" customWidth="1"/>
    <col min="3" max="3" width="7.7109375" customWidth="1"/>
    <col min="4" max="4" width="45.7109375" bestFit="1" customWidth="1"/>
    <col min="5" max="5" width="3" customWidth="1"/>
    <col min="7" max="7" width="13.28515625" bestFit="1" customWidth="1"/>
    <col min="8" max="9" width="4.28515625" customWidth="1"/>
    <col min="10" max="10" width="11.140625" bestFit="1" customWidth="1"/>
    <col min="11" max="11" width="25" bestFit="1" customWidth="1"/>
  </cols>
  <sheetData>
    <row r="1" spans="1:11" s="1" customFormat="1" ht="52.5" customHeight="1" x14ac:dyDescent="0.25">
      <c r="A1" s="8"/>
      <c r="B1" s="2" t="s">
        <v>39</v>
      </c>
    </row>
    <row r="3" spans="1:11" x14ac:dyDescent="0.25">
      <c r="F3" t="s">
        <v>8</v>
      </c>
      <c r="J3" t="s">
        <v>27</v>
      </c>
    </row>
    <row r="4" spans="1:11" x14ac:dyDescent="0.25">
      <c r="B4" s="23" t="s">
        <v>0</v>
      </c>
      <c r="C4" s="30">
        <v>2024</v>
      </c>
      <c r="D4" s="31" t="s">
        <v>42</v>
      </c>
      <c r="F4" t="s">
        <v>7</v>
      </c>
      <c r="G4" t="s">
        <v>22</v>
      </c>
      <c r="J4" t="s">
        <v>5</v>
      </c>
      <c r="K4" t="s">
        <v>28</v>
      </c>
    </row>
    <row r="5" spans="1:11" x14ac:dyDescent="0.25">
      <c r="B5" s="23" t="s">
        <v>1</v>
      </c>
      <c r="C5" s="30">
        <v>1</v>
      </c>
      <c r="D5" s="31" t="s">
        <v>2</v>
      </c>
      <c r="F5" t="s">
        <v>13</v>
      </c>
      <c r="G5" t="s">
        <v>18</v>
      </c>
      <c r="J5" s="21">
        <v>45292</v>
      </c>
      <c r="K5" t="s">
        <v>51</v>
      </c>
    </row>
    <row r="6" spans="1:11" x14ac:dyDescent="0.25">
      <c r="B6" s="23" t="s">
        <v>4</v>
      </c>
      <c r="C6" s="30">
        <v>1</v>
      </c>
      <c r="D6" s="31" t="s">
        <v>41</v>
      </c>
      <c r="F6" t="s">
        <v>15</v>
      </c>
      <c r="G6" t="s">
        <v>20</v>
      </c>
      <c r="J6" s="21">
        <v>45306</v>
      </c>
      <c r="K6" t="s">
        <v>52</v>
      </c>
    </row>
    <row r="7" spans="1:11" x14ac:dyDescent="0.25">
      <c r="B7" s="23" t="s">
        <v>40</v>
      </c>
      <c r="C7" s="30" t="s">
        <v>30</v>
      </c>
      <c r="D7" s="32"/>
      <c r="F7" t="s">
        <v>11</v>
      </c>
      <c r="G7" t="s">
        <v>17</v>
      </c>
      <c r="J7" s="21">
        <v>45341</v>
      </c>
      <c r="K7" t="s">
        <v>53</v>
      </c>
    </row>
    <row r="8" spans="1:11" x14ac:dyDescent="0.25">
      <c r="F8" t="s">
        <v>14</v>
      </c>
      <c r="G8" t="s">
        <v>19</v>
      </c>
      <c r="J8" s="21">
        <v>45439</v>
      </c>
      <c r="K8" t="s">
        <v>54</v>
      </c>
    </row>
    <row r="9" spans="1:11" x14ac:dyDescent="0.25">
      <c r="F9" t="s">
        <v>10</v>
      </c>
      <c r="G9" t="s">
        <v>16</v>
      </c>
      <c r="J9" s="21">
        <v>45462</v>
      </c>
      <c r="K9" t="s">
        <v>55</v>
      </c>
    </row>
    <row r="10" spans="1:11" x14ac:dyDescent="0.25">
      <c r="F10" t="s">
        <v>9</v>
      </c>
      <c r="G10" t="s">
        <v>21</v>
      </c>
      <c r="J10" s="21">
        <v>45477</v>
      </c>
      <c r="K10" t="s">
        <v>56</v>
      </c>
    </row>
    <row r="11" spans="1:11" x14ac:dyDescent="0.25">
      <c r="F11" t="s">
        <v>12</v>
      </c>
      <c r="G11" t="s">
        <v>23</v>
      </c>
      <c r="J11" s="21">
        <v>45537</v>
      </c>
      <c r="K11" t="s">
        <v>57</v>
      </c>
    </row>
    <row r="12" spans="1:11" x14ac:dyDescent="0.25">
      <c r="F12" t="s">
        <v>25</v>
      </c>
      <c r="G12" t="s">
        <v>26</v>
      </c>
      <c r="J12" s="21">
        <v>45579</v>
      </c>
      <c r="K12" t="s">
        <v>58</v>
      </c>
    </row>
    <row r="13" spans="1:11" x14ac:dyDescent="0.25">
      <c r="J13" s="21">
        <v>45607</v>
      </c>
      <c r="K13" t="s">
        <v>59</v>
      </c>
    </row>
    <row r="14" spans="1:11" x14ac:dyDescent="0.25">
      <c r="J14" s="21">
        <v>45624</v>
      </c>
      <c r="K14" t="s">
        <v>60</v>
      </c>
    </row>
    <row r="15" spans="1:11" x14ac:dyDescent="0.25">
      <c r="J15" s="21">
        <v>45651</v>
      </c>
      <c r="K15" t="s">
        <v>29</v>
      </c>
    </row>
  </sheetData>
  <dataValidations count="1">
    <dataValidation type="list" allowBlank="1" showInputMessage="1" showErrorMessage="1" sqref="C7" xr:uid="{AF06E0B4-6F8C-4851-9DE2-195ECCFB2B12}">
      <formula1>"Yes, No"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C3CA-E625-4F2E-A29D-F1C9D9079E39}">
  <dimension ref="A1:AF92"/>
  <sheetViews>
    <sheetView topLeftCell="O4" workbookViewId="0">
      <selection activeCell="Z31" sqref="Z31"/>
    </sheetView>
  </sheetViews>
  <sheetFormatPr defaultRowHeight="15" x14ac:dyDescent="0.25"/>
  <cols>
    <col min="1" max="2" width="1.85546875" customWidth="1"/>
    <col min="4" max="7" width="9.85546875" bestFit="1" customWidth="1"/>
    <col min="8" max="8" width="22.28515625" bestFit="1" customWidth="1"/>
    <col min="9" max="10" width="9.85546875" bestFit="1" customWidth="1"/>
    <col min="14" max="14" width="16.5703125" bestFit="1" customWidth="1"/>
    <col min="15" max="15" width="29.140625" bestFit="1" customWidth="1"/>
    <col min="16" max="16" width="13.28515625" bestFit="1" customWidth="1"/>
    <col min="17" max="17" width="3.85546875" customWidth="1"/>
    <col min="19" max="19" width="36" bestFit="1" customWidth="1"/>
    <col min="26" max="26" width="13.85546875" bestFit="1" customWidth="1"/>
  </cols>
  <sheetData>
    <row r="1" spans="1:32" s="1" customFormat="1" ht="52.5" customHeight="1" x14ac:dyDescent="0.25">
      <c r="A1" s="8"/>
      <c r="C1" s="2" t="s">
        <v>50</v>
      </c>
    </row>
    <row r="8" spans="1:32" x14ac:dyDescent="0.25">
      <c r="C8">
        <v>1</v>
      </c>
      <c r="E8" s="3">
        <f>DATE(cal.year,C8,1)</f>
        <v>45292</v>
      </c>
      <c r="F8">
        <f>WEEKDAY(E8,week.start+10)</f>
        <v>1</v>
      </c>
      <c r="H8" s="4">
        <f>E8</f>
        <v>45292</v>
      </c>
      <c r="N8" t="s">
        <v>32</v>
      </c>
      <c r="O8" s="3">
        <f ca="1">TODAY()</f>
        <v>45314</v>
      </c>
    </row>
    <row r="9" spans="1:32" x14ac:dyDescent="0.25">
      <c r="E9" t="s">
        <v>3</v>
      </c>
      <c r="H9" s="3">
        <f>E8-F8+1</f>
        <v>45292</v>
      </c>
    </row>
    <row r="10" spans="1:32" x14ac:dyDescent="0.25">
      <c r="N10" t="s">
        <v>33</v>
      </c>
      <c r="R10" t="s">
        <v>36</v>
      </c>
      <c r="V10" t="s">
        <v>43</v>
      </c>
      <c r="Z10" t="s">
        <v>45</v>
      </c>
      <c r="AA10" s="35">
        <f>'Any Month'!C3</f>
        <v>1</v>
      </c>
    </row>
    <row r="12" spans="1:32" x14ac:dyDescent="0.25">
      <c r="D12" t="str">
        <f>TEXT(D13,"DDD")</f>
        <v>Mon</v>
      </c>
      <c r="E12" t="str">
        <f t="shared" ref="E12:J12" si="0">TEXT(E13,"DDD")</f>
        <v>Tue</v>
      </c>
      <c r="F12" t="str">
        <f t="shared" si="0"/>
        <v>Wed</v>
      </c>
      <c r="G12" t="str">
        <f t="shared" si="0"/>
        <v>Thu</v>
      </c>
      <c r="H12" t="str">
        <f t="shared" si="0"/>
        <v>Fri</v>
      </c>
      <c r="I12" t="str">
        <f t="shared" si="0"/>
        <v>Sat</v>
      </c>
      <c r="J12" t="str">
        <f t="shared" si="0"/>
        <v>Sun</v>
      </c>
      <c r="K12" t="s">
        <v>38</v>
      </c>
      <c r="N12" t="s">
        <v>5</v>
      </c>
      <c r="O12" t="s">
        <v>6</v>
      </c>
      <c r="P12" t="s">
        <v>22</v>
      </c>
      <c r="R12" t="s">
        <v>34</v>
      </c>
      <c r="S12" t="s">
        <v>35</v>
      </c>
      <c r="V12" s="33" t="s">
        <v>44</v>
      </c>
      <c r="Z12" t="s">
        <v>46</v>
      </c>
    </row>
    <row r="13" spans="1:32" x14ac:dyDescent="0.25">
      <c r="C13" s="6">
        <v>1</v>
      </c>
      <c r="D13" s="7" cm="1">
        <f t="array" ref="D13:J18">_xlfn.LET(_xlpm.mStart, DATE(cal.year, C13, 1), _xlpm.wDay, WEEKDAY(_xlpm.mStart, 10+week.start), _xlfn.SEQUENCE(6,7,_xlpm.mStart-_xlpm.wDay+1))</f>
        <v>45292</v>
      </c>
      <c r="E13" s="5">
        <v>45293</v>
      </c>
      <c r="F13" s="5">
        <v>45294</v>
      </c>
      <c r="G13" s="5">
        <v>45295</v>
      </c>
      <c r="H13" s="5">
        <v>45296</v>
      </c>
      <c r="I13" s="5">
        <v>45297</v>
      </c>
      <c r="J13" s="5">
        <v>45298</v>
      </c>
      <c r="K13">
        <f t="shared" ref="K13:K44" si="1">WEEKNUM(D13,10+week.start)</f>
        <v>1</v>
      </c>
      <c r="N13" s="21" cm="1">
        <f t="array" aca="1" ref="N13:P19" ca="1">_xlfn._xlws.SORT(_xlfn._xlws.FILTER(Plan[], Plan[Date]&gt;=O8),1)</f>
        <v>45320</v>
      </c>
      <c r="O13" t="str">
        <f ca="1"/>
        <v>School Reopens</v>
      </c>
      <c r="P13" t="str">
        <f ca="1"/>
        <v>Kids stuff</v>
      </c>
      <c r="R13" s="23" t="str">
        <f ca="1">_xlfn.XLOOKUP(P13,icons[Type],icons[Icon],"")</f>
        <v>👨‍👧‍👦</v>
      </c>
      <c r="S13" s="23" t="str">
        <f ca="1">IF(N13=0,"",TEXT(N13,"d-mmm")&amp;": "&amp;O13)</f>
        <v>29-Jan: School Reopens</v>
      </c>
      <c r="V13" s="23" cm="1">
        <f t="array" ref="V13:V24">_xlfn.SEQUENCE(12)</f>
        <v>1</v>
      </c>
      <c r="Z13" s="36" cm="1">
        <f t="array" ref="Z13:AF18">_xlfn.LET(_xlpm.dt, _xlfn._xlws.FILTER(monthly.calendar, month.nums=AA10), IF(MONTH(_xlpm.dt)&lt;&gt;AA10,"",_xlpm.dt))</f>
        <v>45292</v>
      </c>
      <c r="AA13" s="36">
        <v>45293</v>
      </c>
      <c r="AB13" s="36">
        <v>45294</v>
      </c>
      <c r="AC13" s="36">
        <v>45295</v>
      </c>
      <c r="AD13" s="36">
        <v>45296</v>
      </c>
      <c r="AE13" s="36">
        <v>45297</v>
      </c>
      <c r="AF13" s="36">
        <v>45298</v>
      </c>
    </row>
    <row r="14" spans="1:32" x14ac:dyDescent="0.25">
      <c r="C14" s="6">
        <f>C13</f>
        <v>1</v>
      </c>
      <c r="D14" s="5">
        <v>45299</v>
      </c>
      <c r="E14" s="5">
        <v>45300</v>
      </c>
      <c r="F14" s="5">
        <v>45301</v>
      </c>
      <c r="G14" s="5">
        <v>45302</v>
      </c>
      <c r="H14" s="5">
        <v>45303</v>
      </c>
      <c r="I14" s="5">
        <v>45304</v>
      </c>
      <c r="J14" s="5">
        <v>45305</v>
      </c>
      <c r="K14">
        <f t="shared" si="1"/>
        <v>2</v>
      </c>
      <c r="N14" s="21">
        <f ca="1"/>
        <v>45320</v>
      </c>
      <c r="O14" t="str">
        <f ca="1"/>
        <v>Order Team Lunches</v>
      </c>
      <c r="P14" t="str">
        <f ca="1"/>
        <v>Appointment</v>
      </c>
      <c r="R14" s="23" t="str">
        <f ca="1">_xlfn.XLOOKUP(P14,icons[Type],icons[Icon],"")</f>
        <v>⏱</v>
      </c>
      <c r="S14" s="23" t="str">
        <f t="shared" ref="S14:S23" ca="1" si="2">IF(N14=0,"",TEXT(N14,"d-mmm")&amp;": "&amp;O14)</f>
        <v>29-Jan: Order Team Lunches</v>
      </c>
      <c r="V14" s="23">
        <v>2</v>
      </c>
      <c r="Z14" s="36">
        <v>45299</v>
      </c>
      <c r="AA14" s="36">
        <v>45300</v>
      </c>
      <c r="AB14" s="36">
        <v>45301</v>
      </c>
      <c r="AC14" s="36">
        <v>45302</v>
      </c>
      <c r="AD14" s="36">
        <v>45303</v>
      </c>
      <c r="AE14" s="36">
        <v>45304</v>
      </c>
      <c r="AF14" s="36">
        <v>45305</v>
      </c>
    </row>
    <row r="15" spans="1:32" x14ac:dyDescent="0.25">
      <c r="C15" s="6">
        <f t="shared" ref="C15:C18" si="3">C14</f>
        <v>1</v>
      </c>
      <c r="D15" s="5">
        <v>45306</v>
      </c>
      <c r="E15" s="5">
        <v>45307</v>
      </c>
      <c r="F15" s="5">
        <v>45308</v>
      </c>
      <c r="G15" s="5">
        <v>45309</v>
      </c>
      <c r="H15" s="5">
        <v>45310</v>
      </c>
      <c r="I15" s="5">
        <v>45311</v>
      </c>
      <c r="J15" s="5">
        <v>45312</v>
      </c>
      <c r="K15">
        <f t="shared" si="1"/>
        <v>3</v>
      </c>
      <c r="N15" s="21">
        <f ca="1"/>
        <v>45328</v>
      </c>
      <c r="O15" t="str">
        <f ca="1"/>
        <v>Flight to London</v>
      </c>
      <c r="P15" t="str">
        <f ca="1"/>
        <v>Work stuff</v>
      </c>
      <c r="R15" s="23" t="str">
        <f ca="1">_xlfn.XLOOKUP(P15,icons[Type],icons[Icon],"")</f>
        <v>🏢</v>
      </c>
      <c r="S15" s="23" t="str">
        <f t="shared" ca="1" si="2"/>
        <v>6-Feb: Flight to London</v>
      </c>
      <c r="V15" s="23">
        <v>3</v>
      </c>
      <c r="Z15" s="36">
        <v>45306</v>
      </c>
      <c r="AA15" s="36">
        <v>45307</v>
      </c>
      <c r="AB15" s="36">
        <v>45308</v>
      </c>
      <c r="AC15" s="36">
        <v>45309</v>
      </c>
      <c r="AD15" s="36">
        <v>45310</v>
      </c>
      <c r="AE15" s="36">
        <v>45311</v>
      </c>
      <c r="AF15" s="36">
        <v>45312</v>
      </c>
    </row>
    <row r="16" spans="1:32" x14ac:dyDescent="0.25">
      <c r="C16" s="6">
        <f t="shared" si="3"/>
        <v>1</v>
      </c>
      <c r="D16" s="5">
        <v>45313</v>
      </c>
      <c r="E16" s="5">
        <v>45314</v>
      </c>
      <c r="F16" s="5">
        <v>45315</v>
      </c>
      <c r="G16" s="5">
        <v>45316</v>
      </c>
      <c r="H16" s="5">
        <v>45317</v>
      </c>
      <c r="I16" s="5">
        <v>45318</v>
      </c>
      <c r="J16" s="5">
        <v>45319</v>
      </c>
      <c r="K16">
        <f t="shared" si="1"/>
        <v>4</v>
      </c>
      <c r="N16" s="21">
        <f ca="1"/>
        <v>45348</v>
      </c>
      <c r="O16" t="str">
        <f ca="1"/>
        <v>University Term Starts</v>
      </c>
      <c r="P16" t="str">
        <f ca="1"/>
        <v>Appointment</v>
      </c>
      <c r="R16" s="23" t="str">
        <f ca="1">_xlfn.XLOOKUP(P16,icons[Type],icons[Icon],"")</f>
        <v>⏱</v>
      </c>
      <c r="S16" s="23" t="str">
        <f t="shared" ca="1" si="2"/>
        <v>26-Feb: University Term Starts</v>
      </c>
      <c r="V16" s="23">
        <v>4</v>
      </c>
      <c r="Z16" s="36">
        <v>45313</v>
      </c>
      <c r="AA16" s="36">
        <v>45314</v>
      </c>
      <c r="AB16" s="36">
        <v>45315</v>
      </c>
      <c r="AC16" s="36">
        <v>45316</v>
      </c>
      <c r="AD16" s="36">
        <v>45317</v>
      </c>
      <c r="AE16" s="36">
        <v>45318</v>
      </c>
      <c r="AF16" s="36">
        <v>45319</v>
      </c>
    </row>
    <row r="17" spans="3:32" x14ac:dyDescent="0.25">
      <c r="C17" s="6">
        <f t="shared" si="3"/>
        <v>1</v>
      </c>
      <c r="D17" s="5">
        <v>45320</v>
      </c>
      <c r="E17" s="5">
        <v>45321</v>
      </c>
      <c r="F17" s="5">
        <v>45322</v>
      </c>
      <c r="G17" s="5">
        <v>45323</v>
      </c>
      <c r="H17" s="5">
        <v>45324</v>
      </c>
      <c r="I17" s="5">
        <v>45325</v>
      </c>
      <c r="J17" s="5">
        <v>45326</v>
      </c>
      <c r="K17">
        <f t="shared" si="1"/>
        <v>5</v>
      </c>
      <c r="N17" s="21">
        <f ca="1"/>
        <v>45395</v>
      </c>
      <c r="O17" t="str">
        <f ca="1"/>
        <v>Term Break</v>
      </c>
      <c r="P17" t="str">
        <f ca="1"/>
        <v>Party</v>
      </c>
      <c r="R17" s="23" t="str">
        <f ca="1">_xlfn.XLOOKUP(P17,icons[Type],icons[Icon],"")</f>
        <v>🎉</v>
      </c>
      <c r="S17" s="23" t="str">
        <f t="shared" ca="1" si="2"/>
        <v>13-Apr: Term Break</v>
      </c>
      <c r="V17" s="23">
        <v>5</v>
      </c>
      <c r="Z17" s="36">
        <v>45320</v>
      </c>
      <c r="AA17" s="36">
        <v>45321</v>
      </c>
      <c r="AB17" s="36">
        <v>45322</v>
      </c>
      <c r="AC17" s="36" t="str">
        <v/>
      </c>
      <c r="AD17" s="36" t="str">
        <v/>
      </c>
      <c r="AE17" s="36" t="str">
        <v/>
      </c>
      <c r="AF17" s="36" t="str">
        <v/>
      </c>
    </row>
    <row r="18" spans="3:32" x14ac:dyDescent="0.25">
      <c r="C18" s="6">
        <f t="shared" si="3"/>
        <v>1</v>
      </c>
      <c r="D18" s="5">
        <v>45327</v>
      </c>
      <c r="E18" s="5">
        <v>45328</v>
      </c>
      <c r="F18" s="5">
        <v>45329</v>
      </c>
      <c r="G18" s="5">
        <v>45330</v>
      </c>
      <c r="H18" s="5">
        <v>45331</v>
      </c>
      <c r="I18" s="5">
        <v>45332</v>
      </c>
      <c r="J18" s="5">
        <v>45333</v>
      </c>
      <c r="K18">
        <f t="shared" si="1"/>
        <v>6</v>
      </c>
      <c r="N18" s="21">
        <f ca="1"/>
        <v>45479</v>
      </c>
      <c r="O18" t="str">
        <f ca="1"/>
        <v>Fiji Holiday</v>
      </c>
      <c r="P18" t="str">
        <f ca="1"/>
        <v>Travel</v>
      </c>
      <c r="R18" s="23" t="str">
        <f ca="1">_xlfn.XLOOKUP(P18,icons[Type],icons[Icon],"")</f>
        <v>✈</v>
      </c>
      <c r="S18" s="23" t="str">
        <f t="shared" ca="1" si="2"/>
        <v>6-Jul: Fiji Holiday</v>
      </c>
      <c r="V18" s="23">
        <v>6</v>
      </c>
      <c r="Z18" s="36" t="str">
        <v/>
      </c>
      <c r="AA18" s="36" t="str">
        <v/>
      </c>
      <c r="AB18" s="36" t="str">
        <v/>
      </c>
      <c r="AC18" s="36" t="str">
        <v/>
      </c>
      <c r="AD18" s="36" t="str">
        <v/>
      </c>
      <c r="AE18" s="36" t="str">
        <v/>
      </c>
      <c r="AF18" s="36" t="str">
        <v/>
      </c>
    </row>
    <row r="19" spans="3:32" x14ac:dyDescent="0.25">
      <c r="C19" s="6">
        <f>C13+1</f>
        <v>2</v>
      </c>
      <c r="D19" s="7" cm="1">
        <f t="array" ref="D19:J24">_xlfn.LET(_xlpm.mStart, DATE(cal.year, C19, 1), _xlpm.wDay, WEEKDAY(_xlpm.mStart, 10+week.start), _xlfn.SEQUENCE(6,7,_xlpm.mStart-_xlpm.wDay+1))</f>
        <v>45320</v>
      </c>
      <c r="E19" s="5">
        <v>45321</v>
      </c>
      <c r="F19" s="5">
        <v>45322</v>
      </c>
      <c r="G19" s="5">
        <v>45323</v>
      </c>
      <c r="H19" s="5">
        <v>45324</v>
      </c>
      <c r="I19" s="5">
        <v>45325</v>
      </c>
      <c r="J19" s="5">
        <v>45326</v>
      </c>
      <c r="K19">
        <f t="shared" si="1"/>
        <v>5</v>
      </c>
      <c r="N19" s="21">
        <f ca="1"/>
        <v>45559</v>
      </c>
      <c r="O19" t="str">
        <f ca="1"/>
        <v>Kids Birthday</v>
      </c>
      <c r="P19" t="str">
        <f ca="1"/>
        <v>Anniversaries</v>
      </c>
      <c r="R19" s="23" t="str">
        <f ca="1">_xlfn.XLOOKUP(P19,icons[Type],icons[Icon],"")</f>
        <v>🎂</v>
      </c>
      <c r="S19" s="23" t="str">
        <f t="shared" ca="1" si="2"/>
        <v>24-Sep: Kids Birthday</v>
      </c>
      <c r="V19" s="23">
        <v>7</v>
      </c>
    </row>
    <row r="20" spans="3:32" x14ac:dyDescent="0.25">
      <c r="C20" s="6">
        <f>C19</f>
        <v>2</v>
      </c>
      <c r="D20" s="5">
        <v>45327</v>
      </c>
      <c r="E20" s="5">
        <v>45328</v>
      </c>
      <c r="F20" s="5">
        <v>45329</v>
      </c>
      <c r="G20" s="5">
        <v>45330</v>
      </c>
      <c r="H20" s="5">
        <v>45331</v>
      </c>
      <c r="I20" s="5">
        <v>45332</v>
      </c>
      <c r="J20" s="5">
        <v>45333</v>
      </c>
      <c r="K20">
        <f t="shared" si="1"/>
        <v>6</v>
      </c>
      <c r="N20" s="21"/>
      <c r="R20" s="23" t="str">
        <f>_xlfn.XLOOKUP(P20,icons[Type],icons[Icon],"")</f>
        <v/>
      </c>
      <c r="S20" s="23" t="str">
        <f t="shared" si="2"/>
        <v/>
      </c>
      <c r="V20" s="23">
        <v>8</v>
      </c>
    </row>
    <row r="21" spans="3:32" x14ac:dyDescent="0.25">
      <c r="C21" s="6">
        <f t="shared" ref="C21:C24" si="4">C20</f>
        <v>2</v>
      </c>
      <c r="D21" s="5">
        <v>45334</v>
      </c>
      <c r="E21" s="5">
        <v>45335</v>
      </c>
      <c r="F21" s="5">
        <v>45336</v>
      </c>
      <c r="G21" s="5">
        <v>45337</v>
      </c>
      <c r="H21" s="5">
        <v>45338</v>
      </c>
      <c r="I21" s="5">
        <v>45339</v>
      </c>
      <c r="J21" s="5">
        <v>45340</v>
      </c>
      <c r="K21">
        <f t="shared" si="1"/>
        <v>7</v>
      </c>
      <c r="N21" s="21"/>
      <c r="R21" s="23" t="str">
        <f>_xlfn.XLOOKUP(P21,icons[Type],icons[Icon],"")</f>
        <v/>
      </c>
      <c r="S21" s="23" t="str">
        <f t="shared" si="2"/>
        <v/>
      </c>
      <c r="V21" s="23">
        <v>9</v>
      </c>
      <c r="Z21" t="s">
        <v>47</v>
      </c>
    </row>
    <row r="22" spans="3:32" x14ac:dyDescent="0.25">
      <c r="C22" s="6">
        <f t="shared" si="4"/>
        <v>2</v>
      </c>
      <c r="D22" s="5">
        <v>45341</v>
      </c>
      <c r="E22" s="5">
        <v>45342</v>
      </c>
      <c r="F22" s="5">
        <v>45343</v>
      </c>
      <c r="G22" s="5">
        <v>45344</v>
      </c>
      <c r="H22" s="5">
        <v>45345</v>
      </c>
      <c r="I22" s="5">
        <v>45346</v>
      </c>
      <c r="J22" s="5">
        <v>45347</v>
      </c>
      <c r="K22">
        <f t="shared" si="1"/>
        <v>8</v>
      </c>
      <c r="N22" s="21"/>
      <c r="R22" s="23" t="str">
        <f>_xlfn.XLOOKUP(P22,icons[Type],icons[Icon],"")</f>
        <v/>
      </c>
      <c r="S22" s="23" t="str">
        <f t="shared" si="2"/>
        <v/>
      </c>
      <c r="V22" s="23">
        <v>10</v>
      </c>
      <c r="Z22" t="str" cm="1">
        <f t="array" ref="Z22">IFERROR(_xlfn.XLOOKUP(_xlfn.MAP(_xlfn.ANCHORARRAY(Z13),_xlfn.LAMBDA(_xlpm.v, _xlfn._xlws.FILTER(Plan[Type],Plan[Date]=_xlpm.v,""))),icons[Type],icons[Icon])&amp;" "&amp;_xlfn.MAP(_xlfn.ANCHORARRAY(Z13),_xlfn.LAMBDA(_xlpm.v, _xlfn._xlws.FILTER(Plan[Activity],Plan[Date]=_xlpm.v,""))),"")</f>
        <v/>
      </c>
    </row>
    <row r="23" spans="3:32" x14ac:dyDescent="0.25">
      <c r="C23" s="6">
        <f t="shared" si="4"/>
        <v>2</v>
      </c>
      <c r="D23" s="5">
        <v>45348</v>
      </c>
      <c r="E23" s="5">
        <v>45349</v>
      </c>
      <c r="F23" s="5">
        <v>45350</v>
      </c>
      <c r="G23" s="5">
        <v>45351</v>
      </c>
      <c r="H23" s="5">
        <v>45352</v>
      </c>
      <c r="I23" s="5">
        <v>45353</v>
      </c>
      <c r="J23" s="5">
        <v>45354</v>
      </c>
      <c r="K23">
        <f t="shared" si="1"/>
        <v>9</v>
      </c>
      <c r="N23" s="21"/>
      <c r="R23" s="23" t="str">
        <f>_xlfn.XLOOKUP(P23,icons[Type],icons[Icon],"")</f>
        <v/>
      </c>
      <c r="S23" s="23" t="str">
        <f t="shared" si="2"/>
        <v/>
      </c>
      <c r="V23" s="23">
        <v>11</v>
      </c>
    </row>
    <row r="24" spans="3:32" x14ac:dyDescent="0.25">
      <c r="C24" s="6">
        <f t="shared" si="4"/>
        <v>2</v>
      </c>
      <c r="D24" s="5">
        <v>45355</v>
      </c>
      <c r="E24" s="5">
        <v>45356</v>
      </c>
      <c r="F24" s="5">
        <v>45357</v>
      </c>
      <c r="G24" s="5">
        <v>45358</v>
      </c>
      <c r="H24" s="5">
        <v>45359</v>
      </c>
      <c r="I24" s="5">
        <v>45360</v>
      </c>
      <c r="J24" s="5">
        <v>45361</v>
      </c>
      <c r="K24">
        <f t="shared" si="1"/>
        <v>10</v>
      </c>
      <c r="N24" s="21"/>
      <c r="R24" s="23" t="str">
        <f>_xlfn.XLOOKUP(P24,icons[Type],icons[Icon],"")</f>
        <v/>
      </c>
      <c r="S24" s="23" t="str">
        <f t="shared" ref="S24:S36" si="5">IF(N24=0,"",TEXT(N24,"d-mmm")&amp;": "&amp;O24)</f>
        <v/>
      </c>
      <c r="V24" s="23">
        <v>12</v>
      </c>
    </row>
    <row r="25" spans="3:32" x14ac:dyDescent="0.25">
      <c r="C25" s="6">
        <f t="shared" ref="C25" si="6">C19+1</f>
        <v>3</v>
      </c>
      <c r="D25" s="7" cm="1">
        <f t="array" ref="D25:J30">_xlfn.LET(_xlpm.mStart, DATE(cal.year, C25, 1), _xlpm.wDay, WEEKDAY(_xlpm.mStart, 10+week.start), _xlfn.SEQUENCE(6,7,_xlpm.mStart-_xlpm.wDay+1))</f>
        <v>45348</v>
      </c>
      <c r="E25" s="5">
        <v>45349</v>
      </c>
      <c r="F25" s="5">
        <v>45350</v>
      </c>
      <c r="G25" s="5">
        <v>45351</v>
      </c>
      <c r="H25" s="5">
        <v>45352</v>
      </c>
      <c r="I25" s="5">
        <v>45353</v>
      </c>
      <c r="J25" s="5">
        <v>45354</v>
      </c>
      <c r="K25">
        <f t="shared" si="1"/>
        <v>9</v>
      </c>
      <c r="N25" s="21"/>
      <c r="R25" s="23" t="str">
        <f>_xlfn.XLOOKUP(P25,icons[Type],icons[Icon],"")</f>
        <v/>
      </c>
      <c r="S25" s="23" t="str">
        <f t="shared" si="5"/>
        <v/>
      </c>
    </row>
    <row r="26" spans="3:32" x14ac:dyDescent="0.25">
      <c r="C26" s="6">
        <f t="shared" ref="C26:C78" si="7">C25</f>
        <v>3</v>
      </c>
      <c r="D26" s="5">
        <v>45355</v>
      </c>
      <c r="E26" s="5">
        <v>45356</v>
      </c>
      <c r="F26" s="5">
        <v>45357</v>
      </c>
      <c r="G26" s="5">
        <v>45358</v>
      </c>
      <c r="H26" s="5">
        <v>45359</v>
      </c>
      <c r="I26" s="5">
        <v>45360</v>
      </c>
      <c r="J26" s="5">
        <v>45361</v>
      </c>
      <c r="K26">
        <f t="shared" si="1"/>
        <v>10</v>
      </c>
      <c r="N26" s="21"/>
      <c r="R26" s="23" t="str">
        <f>_xlfn.XLOOKUP(P26,icons[Type],icons[Icon],"")</f>
        <v/>
      </c>
      <c r="S26" s="23" t="str">
        <f t="shared" si="5"/>
        <v/>
      </c>
    </row>
    <row r="27" spans="3:32" x14ac:dyDescent="0.25">
      <c r="C27" s="6">
        <f t="shared" si="7"/>
        <v>3</v>
      </c>
      <c r="D27" s="5">
        <v>45362</v>
      </c>
      <c r="E27" s="5">
        <v>45363</v>
      </c>
      <c r="F27" s="5">
        <v>45364</v>
      </c>
      <c r="G27" s="5">
        <v>45365</v>
      </c>
      <c r="H27" s="5">
        <v>45366</v>
      </c>
      <c r="I27" s="5">
        <v>45367</v>
      </c>
      <c r="J27" s="5">
        <v>45368</v>
      </c>
      <c r="K27">
        <f t="shared" si="1"/>
        <v>11</v>
      </c>
      <c r="N27" s="21"/>
      <c r="R27" s="23" t="str">
        <f>_xlfn.XLOOKUP(P27,icons[Type],icons[Icon],"")</f>
        <v/>
      </c>
      <c r="S27" s="23" t="str">
        <f t="shared" si="5"/>
        <v/>
      </c>
    </row>
    <row r="28" spans="3:32" x14ac:dyDescent="0.25">
      <c r="C28" s="6">
        <f t="shared" si="7"/>
        <v>3</v>
      </c>
      <c r="D28" s="5">
        <v>45369</v>
      </c>
      <c r="E28" s="5">
        <v>45370</v>
      </c>
      <c r="F28" s="5">
        <v>45371</v>
      </c>
      <c r="G28" s="5">
        <v>45372</v>
      </c>
      <c r="H28" s="5">
        <v>45373</v>
      </c>
      <c r="I28" s="5">
        <v>45374</v>
      </c>
      <c r="J28" s="5">
        <v>45375</v>
      </c>
      <c r="K28">
        <f t="shared" si="1"/>
        <v>12</v>
      </c>
      <c r="N28" s="21"/>
      <c r="R28" s="23" t="str">
        <f>_xlfn.XLOOKUP(P28,icons[Type],icons[Icon],"")</f>
        <v/>
      </c>
      <c r="S28" s="23" t="str">
        <f t="shared" si="5"/>
        <v/>
      </c>
    </row>
    <row r="29" spans="3:32" x14ac:dyDescent="0.25">
      <c r="C29" s="6">
        <f t="shared" si="7"/>
        <v>3</v>
      </c>
      <c r="D29" s="5">
        <v>45376</v>
      </c>
      <c r="E29" s="5">
        <v>45377</v>
      </c>
      <c r="F29" s="5">
        <v>45378</v>
      </c>
      <c r="G29" s="5">
        <v>45379</v>
      </c>
      <c r="H29" s="5">
        <v>45380</v>
      </c>
      <c r="I29" s="5">
        <v>45381</v>
      </c>
      <c r="J29" s="5">
        <v>45382</v>
      </c>
      <c r="K29">
        <f t="shared" si="1"/>
        <v>13</v>
      </c>
      <c r="N29" s="21"/>
      <c r="R29" s="23" t="str">
        <f>_xlfn.XLOOKUP(P29,icons[Type],icons[Icon],"")</f>
        <v/>
      </c>
      <c r="S29" s="23" t="str">
        <f t="shared" si="5"/>
        <v/>
      </c>
    </row>
    <row r="30" spans="3:32" x14ac:dyDescent="0.25">
      <c r="C30" s="6">
        <f t="shared" si="7"/>
        <v>3</v>
      </c>
      <c r="D30" s="5">
        <v>45383</v>
      </c>
      <c r="E30" s="5">
        <v>45384</v>
      </c>
      <c r="F30" s="5">
        <v>45385</v>
      </c>
      <c r="G30" s="5">
        <v>45386</v>
      </c>
      <c r="H30" s="5">
        <v>45387</v>
      </c>
      <c r="I30" s="5">
        <v>45388</v>
      </c>
      <c r="J30" s="5">
        <v>45389</v>
      </c>
      <c r="K30">
        <f t="shared" si="1"/>
        <v>14</v>
      </c>
      <c r="N30" s="21"/>
      <c r="R30" s="23" t="str">
        <f>_xlfn.XLOOKUP(P30,icons[Type],icons[Icon],"")</f>
        <v/>
      </c>
      <c r="S30" s="23" t="str">
        <f t="shared" si="5"/>
        <v/>
      </c>
    </row>
    <row r="31" spans="3:32" x14ac:dyDescent="0.25">
      <c r="C31" s="6">
        <f t="shared" ref="C31" si="8">C25+1</f>
        <v>4</v>
      </c>
      <c r="D31" s="7" cm="1">
        <f t="array" ref="D31:J36">_xlfn.LET(_xlpm.mStart, DATE(cal.year, C31, 1), _xlpm.wDay, WEEKDAY(_xlpm.mStart, 10+week.start), _xlfn.SEQUENCE(6,7,_xlpm.mStart-_xlpm.wDay+1))</f>
        <v>45383</v>
      </c>
      <c r="E31" s="5">
        <v>45384</v>
      </c>
      <c r="F31" s="5">
        <v>45385</v>
      </c>
      <c r="G31" s="5">
        <v>45386</v>
      </c>
      <c r="H31" s="5">
        <v>45387</v>
      </c>
      <c r="I31" s="5">
        <v>45388</v>
      </c>
      <c r="J31" s="5">
        <v>45389</v>
      </c>
      <c r="K31">
        <f t="shared" si="1"/>
        <v>14</v>
      </c>
      <c r="N31" s="21"/>
      <c r="R31" s="23" t="str">
        <f>_xlfn.XLOOKUP(P31,icons[Type],icons[Icon],"")</f>
        <v/>
      </c>
      <c r="S31" s="23" t="str">
        <f t="shared" si="5"/>
        <v/>
      </c>
      <c r="Z31" s="23" t="str" cm="1">
        <f t="array" ref="Z31">IFERROR(_xlfn.LET(_xlpm.events, _xlfn._xlws.FILTER(Plan[Activity],Plan[Date]=Calc!Z13), _xlpm.ic, _xlfn.XLOOKUP(_xlfn._xlws.FILTER(Plan[Type], Plan[Date]=Z13,"x"), icons[Type], icons[Icon]), _xlfn.TEXTJOIN(CHAR(10),TRUE, _xlpm.ic&amp;_xlpm.events)),"")</f>
        <v/>
      </c>
      <c r="AA31" s="23" t="str" cm="1">
        <f t="array" ref="AA31">IFERROR(_xlfn.LET(_xlpm.events, _xlfn._xlws.FILTER(Plan[Activity],Plan[Date]=Calc!AA13), _xlpm.ic, _xlfn.XLOOKUP(_xlfn._xlws.FILTER(Plan[Type], Plan[Date]=AA13,"x"), icons[Type], icons[Icon]), _xlfn.TEXTJOIN(CHAR(10),TRUE, _xlpm.ic&amp;_xlpm.events)),"")</f>
        <v/>
      </c>
      <c r="AB31" s="23" t="str" cm="1">
        <f t="array" ref="AB31">IFERROR(_xlfn.LET(_xlpm.events, _xlfn._xlws.FILTER(Plan[Activity],Plan[Date]=Calc!AB13), _xlpm.ic, _xlfn.XLOOKUP(_xlfn._xlws.FILTER(Plan[Type], Plan[Date]=AB13,"x"), icons[Type], icons[Icon]), _xlfn.TEXTJOIN(CHAR(10),TRUE, _xlpm.ic&amp;_xlpm.events)),"")</f>
        <v/>
      </c>
      <c r="AC31" s="23" t="str" cm="1">
        <f t="array" ref="AC31">IFERROR(_xlfn.LET(_xlpm.events, _xlfn._xlws.FILTER(Plan[Activity],Plan[Date]=Calc!AC13), _xlpm.ic, _xlfn.XLOOKUP(_xlfn._xlws.FILTER(Plan[Type], Plan[Date]=AC13,"x"), icons[Type], icons[Icon]), _xlfn.TEXTJOIN(CHAR(10),TRUE, _xlpm.ic&amp;_xlpm.events)),"")</f>
        <v/>
      </c>
      <c r="AD31" s="23" t="str" cm="1">
        <f t="array" ref="AD31">IFERROR(_xlfn.LET(_xlpm.events, _xlfn._xlws.FILTER(Plan[Activity],Plan[Date]=Calc!AD13), _xlpm.ic, _xlfn.XLOOKUP(_xlfn._xlws.FILTER(Plan[Type], Plan[Date]=AD13,"x"), icons[Type], icons[Icon]), _xlfn.TEXTJOIN(CHAR(10),TRUE, _xlpm.ic&amp;_xlpm.events)),"")</f>
        <v/>
      </c>
      <c r="AE31" s="23" t="str" cm="1">
        <f t="array" ref="AE31">IFERROR(_xlfn.LET(_xlpm.events, _xlfn._xlws.FILTER(Plan[Activity],Plan[Date]=Calc!AE13), _xlpm.ic, _xlfn.XLOOKUP(_xlfn._xlws.FILTER(Plan[Type], Plan[Date]=AE13,"x"), icons[Type], icons[Icon]), _xlfn.TEXTJOIN(CHAR(10),TRUE, _xlpm.ic&amp;_xlpm.events)),"")</f>
        <v/>
      </c>
      <c r="AF31" s="23" t="str" cm="1">
        <f t="array" ref="AF31">IFERROR(_xlfn.LET(_xlpm.events, _xlfn._xlws.FILTER(Plan[Activity],Plan[Date]=Calc!AF13), _xlpm.ic, _xlfn.XLOOKUP(_xlfn._xlws.FILTER(Plan[Type], Plan[Date]=AF13,"x"), icons[Type], icons[Icon]), _xlfn.TEXTJOIN(CHAR(10),TRUE, _xlpm.ic&amp;_xlpm.events)),"")</f>
        <v/>
      </c>
    </row>
    <row r="32" spans="3:32" x14ac:dyDescent="0.25">
      <c r="C32" s="6">
        <f t="shared" ref="C32" si="9">C31</f>
        <v>4</v>
      </c>
      <c r="D32" s="5">
        <v>45390</v>
      </c>
      <c r="E32" s="5">
        <v>45391</v>
      </c>
      <c r="F32" s="5">
        <v>45392</v>
      </c>
      <c r="G32" s="5">
        <v>45393</v>
      </c>
      <c r="H32" s="5">
        <v>45394</v>
      </c>
      <c r="I32" s="5">
        <v>45395</v>
      </c>
      <c r="J32" s="5">
        <v>45396</v>
      </c>
      <c r="K32">
        <f t="shared" si="1"/>
        <v>15</v>
      </c>
      <c r="N32" s="21"/>
      <c r="R32" s="23" t="str">
        <f>_xlfn.XLOOKUP(P32,icons[Type],icons[Icon],"")</f>
        <v/>
      </c>
      <c r="S32" s="23" t="str">
        <f t="shared" si="5"/>
        <v/>
      </c>
      <c r="Z32" s="23" t="str" cm="1">
        <f t="array" ref="Z32">IFERROR(_xlfn.LET(_xlpm.events, _xlfn._xlws.FILTER(Plan[Activity],Plan[Date]=Calc!Z14), _xlpm.ic, _xlfn.XLOOKUP(_xlfn._xlws.FILTER(Plan[Type], Plan[Date]=Z14,"x"), icons[Type], icons[Icon]), _xlfn.TEXTJOIN(CHAR(10),TRUE, _xlpm.ic&amp;_xlpm.events)),"")</f>
        <v/>
      </c>
      <c r="AA32" s="23" t="str" cm="1">
        <f t="array" ref="AA32">IFERROR(_xlfn.LET(_xlpm.events, _xlfn._xlws.FILTER(Plan[Activity],Plan[Date]=Calc!AA14), _xlpm.ic, _xlfn.XLOOKUP(_xlfn._xlws.FILTER(Plan[Type], Plan[Date]=AA14,"x"), icons[Type], icons[Icon]), _xlfn.TEXTJOIN(CHAR(10),TRUE, _xlpm.ic&amp;_xlpm.events)),"")</f>
        <v/>
      </c>
      <c r="AB32" s="23" t="str" cm="1">
        <f t="array" ref="AB32">IFERROR(_xlfn.LET(_xlpm.events, _xlfn._xlws.FILTER(Plan[Activity],Plan[Date]=Calc!AB14), _xlpm.ic, _xlfn.XLOOKUP(_xlfn._xlws.FILTER(Plan[Type], Plan[Date]=AB14,"x"), icons[Type], icons[Icon]), _xlfn.TEXTJOIN(CHAR(10),TRUE, _xlpm.ic&amp;_xlpm.events)),"")</f>
        <v>✈Flight to Wellington
🎉Another Thing</v>
      </c>
      <c r="AC32" s="23" t="str" cm="1">
        <f t="array" ref="AC32">IFERROR(_xlfn.LET(_xlpm.events, _xlfn._xlws.FILTER(Plan[Activity],Plan[Date]=Calc!AC14), _xlpm.ic, _xlfn.XLOOKUP(_xlfn._xlws.FILTER(Plan[Type], Plan[Date]=AC14,"x"), icons[Type], icons[Icon]), _xlfn.TEXTJOIN(CHAR(10),TRUE, _xlpm.ic&amp;_xlpm.events)),"")</f>
        <v/>
      </c>
      <c r="AD32" s="23" t="str" cm="1">
        <f t="array" ref="AD32">IFERROR(_xlfn.LET(_xlpm.events, _xlfn._xlws.FILTER(Plan[Activity],Plan[Date]=Calc!AD14), _xlpm.ic, _xlfn.XLOOKUP(_xlfn._xlws.FILTER(Plan[Type], Plan[Date]=AD14,"x"), icons[Type], icons[Icon]), _xlfn.TEXTJOIN(CHAR(10),TRUE, _xlpm.ic&amp;_xlpm.events)),"")</f>
        <v/>
      </c>
      <c r="AE32" s="23" t="str" cm="1">
        <f t="array" ref="AE32">IFERROR(_xlfn.LET(_xlpm.events, _xlfn._xlws.FILTER(Plan[Activity],Plan[Date]=Calc!AE14), _xlpm.ic, _xlfn.XLOOKUP(_xlfn._xlws.FILTER(Plan[Type], Plan[Date]=AE14,"x"), icons[Type], icons[Icon]), _xlfn.TEXTJOIN(CHAR(10),TRUE, _xlpm.ic&amp;_xlpm.events)),"")</f>
        <v/>
      </c>
      <c r="AF32" s="23" t="str" cm="1">
        <f t="array" ref="AF32">IFERROR(_xlfn.LET(_xlpm.events, _xlfn._xlws.FILTER(Plan[Activity],Plan[Date]=Calc!AF14), _xlpm.ic, _xlfn.XLOOKUP(_xlfn._xlws.FILTER(Plan[Type], Plan[Date]=AF14,"x"), icons[Type], icons[Icon]), _xlfn.TEXTJOIN(CHAR(10),TRUE, _xlpm.ic&amp;_xlpm.events)),"")</f>
        <v/>
      </c>
    </row>
    <row r="33" spans="3:32" x14ac:dyDescent="0.25">
      <c r="C33" s="6">
        <f t="shared" si="7"/>
        <v>4</v>
      </c>
      <c r="D33" s="5">
        <v>45397</v>
      </c>
      <c r="E33" s="5">
        <v>45398</v>
      </c>
      <c r="F33" s="5">
        <v>45399</v>
      </c>
      <c r="G33" s="5">
        <v>45400</v>
      </c>
      <c r="H33" s="5">
        <v>45401</v>
      </c>
      <c r="I33" s="5">
        <v>45402</v>
      </c>
      <c r="J33" s="5">
        <v>45403</v>
      </c>
      <c r="K33">
        <f t="shared" si="1"/>
        <v>16</v>
      </c>
      <c r="N33" s="21"/>
      <c r="R33" s="23" t="str">
        <f>_xlfn.XLOOKUP(P33,icons[Type],icons[Icon],"")</f>
        <v/>
      </c>
      <c r="S33" s="23" t="str">
        <f t="shared" si="5"/>
        <v/>
      </c>
      <c r="Z33" s="23" t="str" cm="1">
        <f t="array" ref="Z33">IFERROR(_xlfn.LET(_xlpm.events, _xlfn._xlws.FILTER(Plan[Activity],Plan[Date]=Calc!Z15), _xlpm.ic, _xlfn.XLOOKUP(_xlfn._xlws.FILTER(Plan[Type], Plan[Date]=Z15,"x"), icons[Type], icons[Icon]), _xlfn.TEXTJOIN(CHAR(10),TRUE, _xlpm.ic&amp;_xlpm.events)),"")</f>
        <v/>
      </c>
      <c r="AA33" s="23" t="str" cm="1">
        <f t="array" ref="AA33">IFERROR(_xlfn.LET(_xlpm.events, _xlfn._xlws.FILTER(Plan[Activity],Plan[Date]=Calc!AA15), _xlpm.ic, _xlfn.XLOOKUP(_xlfn._xlws.FILTER(Plan[Type], Plan[Date]=AA15,"x"), icons[Type], icons[Icon]), _xlfn.TEXTJOIN(CHAR(10),TRUE, _xlpm.ic&amp;_xlpm.events)),"")</f>
        <v/>
      </c>
      <c r="AB33" s="23" t="str" cm="1">
        <f t="array" ref="AB33">IFERROR(_xlfn.LET(_xlpm.events, _xlfn._xlws.FILTER(Plan[Activity],Plan[Date]=Calc!AB15), _xlpm.ic, _xlfn.XLOOKUP(_xlfn._xlws.FILTER(Plan[Type], Plan[Date]=AB15,"x"), icons[Type], icons[Icon]), _xlfn.TEXTJOIN(CHAR(10),TRUE, _xlpm.ic&amp;_xlpm.events)),"")</f>
        <v/>
      </c>
      <c r="AC33" s="23" t="str" cm="1">
        <f t="array" ref="AC33">IFERROR(_xlfn.LET(_xlpm.events, _xlfn._xlws.FILTER(Plan[Activity],Plan[Date]=Calc!AC15), _xlpm.ic, _xlfn.XLOOKUP(_xlfn._xlws.FILTER(Plan[Type], Plan[Date]=AC15,"x"), icons[Type], icons[Icon]), _xlfn.TEXTJOIN(CHAR(10),TRUE, _xlpm.ic&amp;_xlpm.events)),"")</f>
        <v/>
      </c>
      <c r="AD33" s="23" t="str" cm="1">
        <f t="array" ref="AD33">IFERROR(_xlfn.LET(_xlpm.events, _xlfn._xlws.FILTER(Plan[Activity],Plan[Date]=Calc!AD15), _xlpm.ic, _xlfn.XLOOKUP(_xlfn._xlws.FILTER(Plan[Type], Plan[Date]=AD15,"x"), icons[Type], icons[Icon]), _xlfn.TEXTJOIN(CHAR(10),TRUE, _xlpm.ic&amp;_xlpm.events)),"")</f>
        <v/>
      </c>
      <c r="AE33" s="23" t="str" cm="1">
        <f t="array" ref="AE33">IFERROR(_xlfn.LET(_xlpm.events, _xlfn._xlws.FILTER(Plan[Activity],Plan[Date]=Calc!AE15), _xlpm.ic, _xlfn.XLOOKUP(_xlfn._xlws.FILTER(Plan[Type], Plan[Date]=AE15,"x"), icons[Type], icons[Icon]), _xlfn.TEXTJOIN(CHAR(10),TRUE, _xlpm.ic&amp;_xlpm.events)),"")</f>
        <v/>
      </c>
      <c r="AF33" s="23" t="str" cm="1">
        <f t="array" ref="AF33">IFERROR(_xlfn.LET(_xlpm.events, _xlfn._xlws.FILTER(Plan[Activity],Plan[Date]=Calc!AF15), _xlpm.ic, _xlfn.XLOOKUP(_xlfn._xlws.FILTER(Plan[Type], Plan[Date]=AF15,"x"), icons[Type], icons[Icon]), _xlfn.TEXTJOIN(CHAR(10),TRUE, _xlpm.ic&amp;_xlpm.events)),"")</f>
        <v>🎂Wedding Anniversary</v>
      </c>
    </row>
    <row r="34" spans="3:32" x14ac:dyDescent="0.25">
      <c r="C34" s="6">
        <f t="shared" si="7"/>
        <v>4</v>
      </c>
      <c r="D34" s="5">
        <v>45404</v>
      </c>
      <c r="E34" s="5">
        <v>45405</v>
      </c>
      <c r="F34" s="5">
        <v>45406</v>
      </c>
      <c r="G34" s="5">
        <v>45407</v>
      </c>
      <c r="H34" s="5">
        <v>45408</v>
      </c>
      <c r="I34" s="5">
        <v>45409</v>
      </c>
      <c r="J34" s="5">
        <v>45410</v>
      </c>
      <c r="K34">
        <f t="shared" si="1"/>
        <v>17</v>
      </c>
      <c r="N34" s="21"/>
      <c r="R34" s="23" t="str">
        <f>_xlfn.XLOOKUP(P34,icons[Type],icons[Icon],"")</f>
        <v/>
      </c>
      <c r="S34" s="23" t="str">
        <f t="shared" si="5"/>
        <v/>
      </c>
      <c r="Z34" s="23" t="str" cm="1">
        <f t="array" ref="Z34">IFERROR(_xlfn.LET(_xlpm.events, _xlfn._xlws.FILTER(Plan[Activity],Plan[Date]=Calc!Z16), _xlpm.ic, _xlfn.XLOOKUP(_xlfn._xlws.FILTER(Plan[Type], Plan[Date]=Z16,"x"), icons[Type], icons[Icon]), _xlfn.TEXTJOIN(CHAR(10),TRUE, _xlpm.ic&amp;_xlpm.events)),"")</f>
        <v/>
      </c>
      <c r="AA34" s="23" t="str" cm="1">
        <f t="array" ref="AA34">IFERROR(_xlfn.LET(_xlpm.events, _xlfn._xlws.FILTER(Plan[Activity],Plan[Date]=Calc!AA16), _xlpm.ic, _xlfn.XLOOKUP(_xlfn._xlws.FILTER(Plan[Type], Plan[Date]=AA16,"x"), icons[Type], icons[Icon]), _xlfn.TEXTJOIN(CHAR(10),TRUE, _xlpm.ic&amp;_xlpm.events)),"")</f>
        <v/>
      </c>
      <c r="AB34" s="23" t="str" cm="1">
        <f t="array" ref="AB34">IFERROR(_xlfn.LET(_xlpm.events, _xlfn._xlws.FILTER(Plan[Activity],Plan[Date]=Calc!AB16), _xlpm.ic, _xlfn.XLOOKUP(_xlfn._xlws.FILTER(Plan[Type], Plan[Date]=AB16,"x"), icons[Type], icons[Icon]), _xlfn.TEXTJOIN(CHAR(10),TRUE, _xlpm.ic&amp;_xlpm.events)),"")</f>
        <v/>
      </c>
      <c r="AC34" s="23" t="str" cm="1">
        <f t="array" ref="AC34">IFERROR(_xlfn.LET(_xlpm.events, _xlfn._xlws.FILTER(Plan[Activity],Plan[Date]=Calc!AC16), _xlpm.ic, _xlfn.XLOOKUP(_xlfn._xlws.FILTER(Plan[Type], Plan[Date]=AC16,"x"), icons[Type], icons[Icon]), _xlfn.TEXTJOIN(CHAR(10),TRUE, _xlpm.ic&amp;_xlpm.events)),"")</f>
        <v/>
      </c>
      <c r="AD34" s="23" t="str" cm="1">
        <f t="array" ref="AD34">IFERROR(_xlfn.LET(_xlpm.events, _xlfn._xlws.FILTER(Plan[Activity],Plan[Date]=Calc!AD16), _xlpm.ic, _xlfn.XLOOKUP(_xlfn._xlws.FILTER(Plan[Type], Plan[Date]=AD16,"x"), icons[Type], icons[Icon]), _xlfn.TEXTJOIN(CHAR(10),TRUE, _xlpm.ic&amp;_xlpm.events)),"")</f>
        <v/>
      </c>
      <c r="AE34" s="23" t="str" cm="1">
        <f t="array" ref="AE34">IFERROR(_xlfn.LET(_xlpm.events, _xlfn._xlws.FILTER(Plan[Activity],Plan[Date]=Calc!AE16), _xlpm.ic, _xlfn.XLOOKUP(_xlfn._xlws.FILTER(Plan[Type], Plan[Date]=AE16,"x"), icons[Type], icons[Icon]), _xlfn.TEXTJOIN(CHAR(10),TRUE, _xlpm.ic&amp;_xlpm.events)),"")</f>
        <v/>
      </c>
      <c r="AF34" s="23" t="str" cm="1">
        <f t="array" ref="AF34">IFERROR(_xlfn.LET(_xlpm.events, _xlfn._xlws.FILTER(Plan[Activity],Plan[Date]=Calc!AF16), _xlpm.ic, _xlfn.XLOOKUP(_xlfn._xlws.FILTER(Plan[Type], Plan[Date]=AF16,"x"), icons[Type], icons[Icon]), _xlfn.TEXTJOIN(CHAR(10),TRUE, _xlpm.ic&amp;_xlpm.events)),"")</f>
        <v/>
      </c>
    </row>
    <row r="35" spans="3:32" x14ac:dyDescent="0.25">
      <c r="C35" s="6">
        <f t="shared" si="7"/>
        <v>4</v>
      </c>
      <c r="D35" s="5">
        <v>45411</v>
      </c>
      <c r="E35" s="5">
        <v>45412</v>
      </c>
      <c r="F35" s="5">
        <v>45413</v>
      </c>
      <c r="G35" s="5">
        <v>45414</v>
      </c>
      <c r="H35" s="5">
        <v>45415</v>
      </c>
      <c r="I35" s="5">
        <v>45416</v>
      </c>
      <c r="J35" s="5">
        <v>45417</v>
      </c>
      <c r="K35">
        <f t="shared" si="1"/>
        <v>18</v>
      </c>
      <c r="N35" s="21"/>
      <c r="R35" s="23" t="str">
        <f>_xlfn.XLOOKUP(P35,icons[Type],icons[Icon],"")</f>
        <v/>
      </c>
      <c r="S35" s="23" t="str">
        <f t="shared" si="5"/>
        <v/>
      </c>
      <c r="Z35" s="23" t="str" cm="1">
        <f t="array" ref="Z35">IFERROR(_xlfn.LET(_xlpm.events, _xlfn._xlws.FILTER(Plan[Activity],Plan[Date]=Calc!Z17), _xlpm.ic, _xlfn.XLOOKUP(_xlfn._xlws.FILTER(Plan[Type], Plan[Date]=Z17,"x"), icons[Type], icons[Icon]), _xlfn.TEXTJOIN(CHAR(10),TRUE, _xlpm.ic&amp;_xlpm.events)),"")</f>
        <v>👨‍👧‍👦School Reopens
⏱Order Team Lunches</v>
      </c>
      <c r="AA35" s="23" t="str" cm="1">
        <f t="array" ref="AA35">IFERROR(_xlfn.LET(_xlpm.events, _xlfn._xlws.FILTER(Plan[Activity],Plan[Date]=Calc!AA17), _xlpm.ic, _xlfn.XLOOKUP(_xlfn._xlws.FILTER(Plan[Type], Plan[Date]=AA17,"x"), icons[Type], icons[Icon]), _xlfn.TEXTJOIN(CHAR(10),TRUE, _xlpm.ic&amp;_xlpm.events)),"")</f>
        <v/>
      </c>
      <c r="AB35" s="23" t="str" cm="1">
        <f t="array" ref="AB35">IFERROR(_xlfn.LET(_xlpm.events, _xlfn._xlws.FILTER(Plan[Activity],Plan[Date]=Calc!AB17), _xlpm.ic, _xlfn.XLOOKUP(_xlfn._xlws.FILTER(Plan[Type], Plan[Date]=AB17,"x"), icons[Type], icons[Icon]), _xlfn.TEXTJOIN(CHAR(10),TRUE, _xlpm.ic&amp;_xlpm.events)),"")</f>
        <v/>
      </c>
      <c r="AC35" s="23" t="str" cm="1">
        <f t="array" ref="AC35">IFERROR(_xlfn.LET(_xlpm.events, _xlfn._xlws.FILTER(Plan[Activity],Plan[Date]=Calc!AC17), _xlpm.ic, _xlfn.XLOOKUP(_xlfn._xlws.FILTER(Plan[Type], Plan[Date]=AC17,"x"), icons[Type], icons[Icon]), _xlfn.TEXTJOIN(CHAR(10),TRUE, _xlpm.ic&amp;_xlpm.events)),"")</f>
        <v/>
      </c>
      <c r="AD35" s="23" t="str" cm="1">
        <f t="array" ref="AD35">IFERROR(_xlfn.LET(_xlpm.events, _xlfn._xlws.FILTER(Plan[Activity],Plan[Date]=Calc!AD17), _xlpm.ic, _xlfn.XLOOKUP(_xlfn._xlws.FILTER(Plan[Type], Plan[Date]=AD17,"x"), icons[Type], icons[Icon]), _xlfn.TEXTJOIN(CHAR(10),TRUE, _xlpm.ic&amp;_xlpm.events)),"")</f>
        <v/>
      </c>
      <c r="AE35" s="23" t="str" cm="1">
        <f t="array" ref="AE35">IFERROR(_xlfn.LET(_xlpm.events, _xlfn._xlws.FILTER(Plan[Activity],Plan[Date]=Calc!AE17), _xlpm.ic, _xlfn.XLOOKUP(_xlfn._xlws.FILTER(Plan[Type], Plan[Date]=AE17,"x"), icons[Type], icons[Icon]), _xlfn.TEXTJOIN(CHAR(10),TRUE, _xlpm.ic&amp;_xlpm.events)),"")</f>
        <v/>
      </c>
      <c r="AF35" s="23" t="str" cm="1">
        <f t="array" ref="AF35">IFERROR(_xlfn.LET(_xlpm.events, _xlfn._xlws.FILTER(Plan[Activity],Plan[Date]=Calc!AF17), _xlpm.ic, _xlfn.XLOOKUP(_xlfn._xlws.FILTER(Plan[Type], Plan[Date]=AF17,"x"), icons[Type], icons[Icon]), _xlfn.TEXTJOIN(CHAR(10),TRUE, _xlpm.ic&amp;_xlpm.events)),"")</f>
        <v/>
      </c>
    </row>
    <row r="36" spans="3:32" x14ac:dyDescent="0.25">
      <c r="C36" s="6">
        <f t="shared" si="7"/>
        <v>4</v>
      </c>
      <c r="D36" s="5">
        <v>45418</v>
      </c>
      <c r="E36" s="5">
        <v>45419</v>
      </c>
      <c r="F36" s="5">
        <v>45420</v>
      </c>
      <c r="G36" s="5">
        <v>45421</v>
      </c>
      <c r="H36" s="5">
        <v>45422</v>
      </c>
      <c r="I36" s="5">
        <v>45423</v>
      </c>
      <c r="J36" s="5">
        <v>45424</v>
      </c>
      <c r="K36">
        <f t="shared" si="1"/>
        <v>19</v>
      </c>
      <c r="N36" s="21"/>
      <c r="R36" s="23" t="str">
        <f>_xlfn.XLOOKUP(P36,icons[Type],icons[Icon],"")</f>
        <v/>
      </c>
      <c r="S36" s="23" t="str">
        <f t="shared" si="5"/>
        <v/>
      </c>
      <c r="Z36" s="23" t="str" cm="1">
        <f t="array" ref="Z36">IFERROR(_xlfn.LET(_xlpm.events, _xlfn._xlws.FILTER(Plan[Activity],Plan[Date]=Calc!Z18), _xlpm.ic, _xlfn.XLOOKUP(_xlfn._xlws.FILTER(Plan[Type], Plan[Date]=Z18,"x"), icons[Type], icons[Icon]), _xlfn.TEXTJOIN(CHAR(10),TRUE, _xlpm.ic&amp;_xlpm.events)),"")</f>
        <v/>
      </c>
      <c r="AA36" s="23" t="str" cm="1">
        <f t="array" ref="AA36">IFERROR(_xlfn.LET(_xlpm.events, _xlfn._xlws.FILTER(Plan[Activity],Plan[Date]=Calc!AA18), _xlpm.ic, _xlfn.XLOOKUP(_xlfn._xlws.FILTER(Plan[Type], Plan[Date]=AA18,"x"), icons[Type], icons[Icon]), _xlfn.TEXTJOIN(CHAR(10),TRUE, _xlpm.ic&amp;_xlpm.events)),"")</f>
        <v/>
      </c>
      <c r="AB36" s="23" t="str" cm="1">
        <f t="array" ref="AB36">IFERROR(_xlfn.LET(_xlpm.events, _xlfn._xlws.FILTER(Plan[Activity],Plan[Date]=Calc!AB18), _xlpm.ic, _xlfn.XLOOKUP(_xlfn._xlws.FILTER(Plan[Type], Plan[Date]=AB18,"x"), icons[Type], icons[Icon]), _xlfn.TEXTJOIN(CHAR(10),TRUE, _xlpm.ic&amp;_xlpm.events)),"")</f>
        <v/>
      </c>
      <c r="AC36" s="23" t="str" cm="1">
        <f t="array" ref="AC36">IFERROR(_xlfn.LET(_xlpm.events, _xlfn._xlws.FILTER(Plan[Activity],Plan[Date]=Calc!AC18), _xlpm.ic, _xlfn.XLOOKUP(_xlfn._xlws.FILTER(Plan[Type], Plan[Date]=AC18,"x"), icons[Type], icons[Icon]), _xlfn.TEXTJOIN(CHAR(10),TRUE, _xlpm.ic&amp;_xlpm.events)),"")</f>
        <v/>
      </c>
      <c r="AD36" s="23" t="str" cm="1">
        <f t="array" ref="AD36">IFERROR(_xlfn.LET(_xlpm.events, _xlfn._xlws.FILTER(Plan[Activity],Plan[Date]=Calc!AD18), _xlpm.ic, _xlfn.XLOOKUP(_xlfn._xlws.FILTER(Plan[Type], Plan[Date]=AD18,"x"), icons[Type], icons[Icon]), _xlfn.TEXTJOIN(CHAR(10),TRUE, _xlpm.ic&amp;_xlpm.events)),"")</f>
        <v/>
      </c>
      <c r="AE36" s="23" t="str" cm="1">
        <f t="array" ref="AE36">IFERROR(_xlfn.LET(_xlpm.events, _xlfn._xlws.FILTER(Plan[Activity],Plan[Date]=Calc!AE18), _xlpm.ic, _xlfn.XLOOKUP(_xlfn._xlws.FILTER(Plan[Type], Plan[Date]=AE18,"x"), icons[Type], icons[Icon]), _xlfn.TEXTJOIN(CHAR(10),TRUE, _xlpm.ic&amp;_xlpm.events)),"")</f>
        <v/>
      </c>
      <c r="AF36" s="23" t="str" cm="1">
        <f t="array" ref="AF36">IFERROR(_xlfn.LET(_xlpm.events, _xlfn._xlws.FILTER(Plan[Activity],Plan[Date]=Calc!AF18), _xlpm.ic, _xlfn.XLOOKUP(_xlfn._xlws.FILTER(Plan[Type], Plan[Date]=AF18,"x"), icons[Type], icons[Icon]), _xlfn.TEXTJOIN(CHAR(10),TRUE, _xlpm.ic&amp;_xlpm.events)),"")</f>
        <v/>
      </c>
    </row>
    <row r="37" spans="3:32" x14ac:dyDescent="0.25">
      <c r="C37" s="6">
        <f t="shared" ref="C37" si="10">C31+1</f>
        <v>5</v>
      </c>
      <c r="D37" s="7" cm="1">
        <f t="array" ref="D37:J42">_xlfn.LET(_xlpm.mStart, DATE(cal.year, C37, 1), _xlpm.wDay, WEEKDAY(_xlpm.mStart, 10+week.start), _xlfn.SEQUENCE(6,7,_xlpm.mStart-_xlpm.wDay+1))</f>
        <v>45411</v>
      </c>
      <c r="E37" s="5">
        <v>45412</v>
      </c>
      <c r="F37" s="5">
        <v>45413</v>
      </c>
      <c r="G37" s="5">
        <v>45414</v>
      </c>
      <c r="H37" s="5">
        <v>45415</v>
      </c>
      <c r="I37" s="5">
        <v>45416</v>
      </c>
      <c r="J37" s="5">
        <v>45417</v>
      </c>
      <c r="K37">
        <f t="shared" si="1"/>
        <v>18</v>
      </c>
      <c r="N37" s="21"/>
      <c r="R37" s="23" t="str">
        <f>_xlfn.XLOOKUP(P37,icons[Type],icons[Icon],"")</f>
        <v/>
      </c>
      <c r="S37" s="23" t="str">
        <f>IF(N37=0,"",TEXT(N37,"d-mmm")&amp;": "&amp;O37)</f>
        <v/>
      </c>
    </row>
    <row r="38" spans="3:32" x14ac:dyDescent="0.25">
      <c r="C38" s="6">
        <f t="shared" ref="C38" si="11">C37</f>
        <v>5</v>
      </c>
      <c r="D38" s="5">
        <v>45418</v>
      </c>
      <c r="E38" s="5">
        <v>45419</v>
      </c>
      <c r="F38" s="5">
        <v>45420</v>
      </c>
      <c r="G38" s="5">
        <v>45421</v>
      </c>
      <c r="H38" s="5">
        <v>45422</v>
      </c>
      <c r="I38" s="5">
        <v>45423</v>
      </c>
      <c r="J38" s="5">
        <v>45424</v>
      </c>
      <c r="K38">
        <f t="shared" si="1"/>
        <v>19</v>
      </c>
    </row>
    <row r="39" spans="3:32" x14ac:dyDescent="0.25">
      <c r="C39" s="6">
        <f t="shared" si="7"/>
        <v>5</v>
      </c>
      <c r="D39" s="5">
        <v>45425</v>
      </c>
      <c r="E39" s="5">
        <v>45426</v>
      </c>
      <c r="F39" s="5">
        <v>45427</v>
      </c>
      <c r="G39" s="5">
        <v>45428</v>
      </c>
      <c r="H39" s="5">
        <v>45429</v>
      </c>
      <c r="I39" s="5">
        <v>45430</v>
      </c>
      <c r="J39" s="5">
        <v>45431</v>
      </c>
      <c r="K39">
        <f t="shared" si="1"/>
        <v>20</v>
      </c>
    </row>
    <row r="40" spans="3:32" x14ac:dyDescent="0.25">
      <c r="C40" s="6">
        <f t="shared" si="7"/>
        <v>5</v>
      </c>
      <c r="D40" s="5">
        <v>45432</v>
      </c>
      <c r="E40" s="5">
        <v>45433</v>
      </c>
      <c r="F40" s="5">
        <v>45434</v>
      </c>
      <c r="G40" s="5">
        <v>45435</v>
      </c>
      <c r="H40" s="5">
        <v>45436</v>
      </c>
      <c r="I40" s="5">
        <v>45437</v>
      </c>
      <c r="J40" s="5">
        <v>45438</v>
      </c>
      <c r="K40">
        <f t="shared" si="1"/>
        <v>21</v>
      </c>
    </row>
    <row r="41" spans="3:32" x14ac:dyDescent="0.25">
      <c r="C41" s="6">
        <f t="shared" si="7"/>
        <v>5</v>
      </c>
      <c r="D41" s="5">
        <v>45439</v>
      </c>
      <c r="E41" s="5">
        <v>45440</v>
      </c>
      <c r="F41" s="5">
        <v>45441</v>
      </c>
      <c r="G41" s="5">
        <v>45442</v>
      </c>
      <c r="H41" s="5">
        <v>45443</v>
      </c>
      <c r="I41" s="5">
        <v>45444</v>
      </c>
      <c r="J41" s="5">
        <v>45445</v>
      </c>
      <c r="K41">
        <f t="shared" si="1"/>
        <v>22</v>
      </c>
    </row>
    <row r="42" spans="3:32" x14ac:dyDescent="0.25">
      <c r="C42" s="6">
        <f t="shared" si="7"/>
        <v>5</v>
      </c>
      <c r="D42" s="5">
        <v>45446</v>
      </c>
      <c r="E42" s="5">
        <v>45447</v>
      </c>
      <c r="F42" s="5">
        <v>45448</v>
      </c>
      <c r="G42" s="5">
        <v>45449</v>
      </c>
      <c r="H42" s="5">
        <v>45450</v>
      </c>
      <c r="I42" s="5">
        <v>45451</v>
      </c>
      <c r="J42" s="5">
        <v>45452</v>
      </c>
      <c r="K42">
        <f t="shared" si="1"/>
        <v>23</v>
      </c>
    </row>
    <row r="43" spans="3:32" x14ac:dyDescent="0.25">
      <c r="C43" s="6">
        <f t="shared" ref="C43" si="12">C37+1</f>
        <v>6</v>
      </c>
      <c r="D43" s="7" cm="1">
        <f t="array" ref="D43:J48">_xlfn.LET(_xlpm.mStart, DATE(cal.year, C43, 1), _xlpm.wDay, WEEKDAY(_xlpm.mStart, 10+week.start), _xlfn.SEQUENCE(6,7,_xlpm.mStart-_xlpm.wDay+1))</f>
        <v>45439</v>
      </c>
      <c r="E43" s="5">
        <v>45440</v>
      </c>
      <c r="F43" s="5">
        <v>45441</v>
      </c>
      <c r="G43" s="5">
        <v>45442</v>
      </c>
      <c r="H43" s="5">
        <v>45443</v>
      </c>
      <c r="I43" s="5">
        <v>45444</v>
      </c>
      <c r="J43" s="5">
        <v>45445</v>
      </c>
      <c r="K43">
        <f t="shared" si="1"/>
        <v>22</v>
      </c>
    </row>
    <row r="44" spans="3:32" x14ac:dyDescent="0.25">
      <c r="C44" s="6">
        <f t="shared" ref="C44" si="13">C43</f>
        <v>6</v>
      </c>
      <c r="D44" s="5">
        <v>45446</v>
      </c>
      <c r="E44" s="5">
        <v>45447</v>
      </c>
      <c r="F44" s="5">
        <v>45448</v>
      </c>
      <c r="G44" s="5">
        <v>45449</v>
      </c>
      <c r="H44" s="5">
        <v>45450</v>
      </c>
      <c r="I44" s="5">
        <v>45451</v>
      </c>
      <c r="J44" s="5">
        <v>45452</v>
      </c>
      <c r="K44">
        <f t="shared" si="1"/>
        <v>23</v>
      </c>
    </row>
    <row r="45" spans="3:32" x14ac:dyDescent="0.25">
      <c r="C45" s="6">
        <f t="shared" si="7"/>
        <v>6</v>
      </c>
      <c r="D45" s="5">
        <v>45453</v>
      </c>
      <c r="E45" s="5">
        <v>45454</v>
      </c>
      <c r="F45" s="5">
        <v>45455</v>
      </c>
      <c r="G45" s="5">
        <v>45456</v>
      </c>
      <c r="H45" s="5">
        <v>45457</v>
      </c>
      <c r="I45" s="5">
        <v>45458</v>
      </c>
      <c r="J45" s="5">
        <v>45459</v>
      </c>
      <c r="K45">
        <f t="shared" ref="K45:K76" si="14">WEEKNUM(D45,10+week.start)</f>
        <v>24</v>
      </c>
    </row>
    <row r="46" spans="3:32" x14ac:dyDescent="0.25">
      <c r="C46" s="6">
        <f t="shared" si="7"/>
        <v>6</v>
      </c>
      <c r="D46" s="5">
        <v>45460</v>
      </c>
      <c r="E46" s="5">
        <v>45461</v>
      </c>
      <c r="F46" s="5">
        <v>45462</v>
      </c>
      <c r="G46" s="5">
        <v>45463</v>
      </c>
      <c r="H46" s="5">
        <v>45464</v>
      </c>
      <c r="I46" s="5">
        <v>45465</v>
      </c>
      <c r="J46" s="5">
        <v>45466</v>
      </c>
      <c r="K46">
        <f t="shared" si="14"/>
        <v>25</v>
      </c>
    </row>
    <row r="47" spans="3:32" x14ac:dyDescent="0.25">
      <c r="C47" s="6">
        <f t="shared" si="7"/>
        <v>6</v>
      </c>
      <c r="D47" s="5">
        <v>45467</v>
      </c>
      <c r="E47" s="5">
        <v>45468</v>
      </c>
      <c r="F47" s="5">
        <v>45469</v>
      </c>
      <c r="G47" s="5">
        <v>45470</v>
      </c>
      <c r="H47" s="5">
        <v>45471</v>
      </c>
      <c r="I47" s="5">
        <v>45472</v>
      </c>
      <c r="J47" s="5">
        <v>45473</v>
      </c>
      <c r="K47">
        <f t="shared" si="14"/>
        <v>26</v>
      </c>
    </row>
    <row r="48" spans="3:32" x14ac:dyDescent="0.25">
      <c r="C48" s="6">
        <f t="shared" si="7"/>
        <v>6</v>
      </c>
      <c r="D48" s="5">
        <v>45474</v>
      </c>
      <c r="E48" s="5">
        <v>45475</v>
      </c>
      <c r="F48" s="5">
        <v>45476</v>
      </c>
      <c r="G48" s="5">
        <v>45477</v>
      </c>
      <c r="H48" s="5">
        <v>45478</v>
      </c>
      <c r="I48" s="5">
        <v>45479</v>
      </c>
      <c r="J48" s="5">
        <v>45480</v>
      </c>
      <c r="K48">
        <f t="shared" si="14"/>
        <v>27</v>
      </c>
    </row>
    <row r="49" spans="3:11" x14ac:dyDescent="0.25">
      <c r="C49" s="6">
        <f t="shared" ref="C49" si="15">C43+1</f>
        <v>7</v>
      </c>
      <c r="D49" s="7" cm="1">
        <f t="array" ref="D49:J54">_xlfn.LET(_xlpm.mStart, DATE(cal.year, C49, 1), _xlpm.wDay, WEEKDAY(_xlpm.mStart, 10+week.start), _xlfn.SEQUENCE(6,7,_xlpm.mStart-_xlpm.wDay+1))</f>
        <v>45474</v>
      </c>
      <c r="E49" s="5">
        <v>45475</v>
      </c>
      <c r="F49" s="5">
        <v>45476</v>
      </c>
      <c r="G49" s="5">
        <v>45477</v>
      </c>
      <c r="H49" s="5">
        <v>45478</v>
      </c>
      <c r="I49" s="5">
        <v>45479</v>
      </c>
      <c r="J49" s="5">
        <v>45480</v>
      </c>
      <c r="K49">
        <f t="shared" si="14"/>
        <v>27</v>
      </c>
    </row>
    <row r="50" spans="3:11" x14ac:dyDescent="0.25">
      <c r="C50" s="6">
        <f t="shared" ref="C50" si="16">C49</f>
        <v>7</v>
      </c>
      <c r="D50" s="5">
        <v>45481</v>
      </c>
      <c r="E50" s="5">
        <v>45482</v>
      </c>
      <c r="F50" s="5">
        <v>45483</v>
      </c>
      <c r="G50" s="5">
        <v>45484</v>
      </c>
      <c r="H50" s="5">
        <v>45485</v>
      </c>
      <c r="I50" s="5">
        <v>45486</v>
      </c>
      <c r="J50" s="5">
        <v>45487</v>
      </c>
      <c r="K50">
        <f t="shared" si="14"/>
        <v>28</v>
      </c>
    </row>
    <row r="51" spans="3:11" x14ac:dyDescent="0.25">
      <c r="C51" s="6">
        <f t="shared" si="7"/>
        <v>7</v>
      </c>
      <c r="D51" s="5">
        <v>45488</v>
      </c>
      <c r="E51" s="5">
        <v>45489</v>
      </c>
      <c r="F51" s="5">
        <v>45490</v>
      </c>
      <c r="G51" s="5">
        <v>45491</v>
      </c>
      <c r="H51" s="5">
        <v>45492</v>
      </c>
      <c r="I51" s="5">
        <v>45493</v>
      </c>
      <c r="J51" s="5">
        <v>45494</v>
      </c>
      <c r="K51">
        <f t="shared" si="14"/>
        <v>29</v>
      </c>
    </row>
    <row r="52" spans="3:11" x14ac:dyDescent="0.25">
      <c r="C52" s="6">
        <f t="shared" si="7"/>
        <v>7</v>
      </c>
      <c r="D52" s="5">
        <v>45495</v>
      </c>
      <c r="E52" s="5">
        <v>45496</v>
      </c>
      <c r="F52" s="5">
        <v>45497</v>
      </c>
      <c r="G52" s="5">
        <v>45498</v>
      </c>
      <c r="H52" s="5">
        <v>45499</v>
      </c>
      <c r="I52" s="5">
        <v>45500</v>
      </c>
      <c r="J52" s="5">
        <v>45501</v>
      </c>
      <c r="K52">
        <f t="shared" si="14"/>
        <v>30</v>
      </c>
    </row>
    <row r="53" spans="3:11" x14ac:dyDescent="0.25">
      <c r="C53" s="6">
        <f t="shared" si="7"/>
        <v>7</v>
      </c>
      <c r="D53" s="5">
        <v>45502</v>
      </c>
      <c r="E53" s="5">
        <v>45503</v>
      </c>
      <c r="F53" s="5">
        <v>45504</v>
      </c>
      <c r="G53" s="5">
        <v>45505</v>
      </c>
      <c r="H53" s="5">
        <v>45506</v>
      </c>
      <c r="I53" s="5">
        <v>45507</v>
      </c>
      <c r="J53" s="5">
        <v>45508</v>
      </c>
      <c r="K53">
        <f t="shared" si="14"/>
        <v>31</v>
      </c>
    </row>
    <row r="54" spans="3:11" x14ac:dyDescent="0.25">
      <c r="C54" s="6">
        <f t="shared" si="7"/>
        <v>7</v>
      </c>
      <c r="D54" s="5">
        <v>45509</v>
      </c>
      <c r="E54" s="5">
        <v>45510</v>
      </c>
      <c r="F54" s="5">
        <v>45511</v>
      </c>
      <c r="G54" s="5">
        <v>45512</v>
      </c>
      <c r="H54" s="5">
        <v>45513</v>
      </c>
      <c r="I54" s="5">
        <v>45514</v>
      </c>
      <c r="J54" s="5">
        <v>45515</v>
      </c>
      <c r="K54">
        <f t="shared" si="14"/>
        <v>32</v>
      </c>
    </row>
    <row r="55" spans="3:11" x14ac:dyDescent="0.25">
      <c r="C55" s="6">
        <f t="shared" ref="C55" si="17">C49+1</f>
        <v>8</v>
      </c>
      <c r="D55" s="7" cm="1">
        <f t="array" ref="D55:J60">_xlfn.LET(_xlpm.mStart, DATE(cal.year, C55, 1), _xlpm.wDay, WEEKDAY(_xlpm.mStart, 10+week.start), _xlfn.SEQUENCE(6,7,_xlpm.mStart-_xlpm.wDay+1))</f>
        <v>45502</v>
      </c>
      <c r="E55" s="5">
        <v>45503</v>
      </c>
      <c r="F55" s="5">
        <v>45504</v>
      </c>
      <c r="G55" s="5">
        <v>45505</v>
      </c>
      <c r="H55" s="5">
        <v>45506</v>
      </c>
      <c r="I55" s="5">
        <v>45507</v>
      </c>
      <c r="J55" s="5">
        <v>45508</v>
      </c>
      <c r="K55">
        <f t="shared" si="14"/>
        <v>31</v>
      </c>
    </row>
    <row r="56" spans="3:11" x14ac:dyDescent="0.25">
      <c r="C56" s="6">
        <f t="shared" ref="C56:C74" si="18">C55</f>
        <v>8</v>
      </c>
      <c r="D56" s="5">
        <v>45509</v>
      </c>
      <c r="E56" s="5">
        <v>45510</v>
      </c>
      <c r="F56" s="5">
        <v>45511</v>
      </c>
      <c r="G56" s="5">
        <v>45512</v>
      </c>
      <c r="H56" s="5">
        <v>45513</v>
      </c>
      <c r="I56" s="5">
        <v>45514</v>
      </c>
      <c r="J56" s="5">
        <v>45515</v>
      </c>
      <c r="K56">
        <f t="shared" si="14"/>
        <v>32</v>
      </c>
    </row>
    <row r="57" spans="3:11" x14ac:dyDescent="0.25">
      <c r="C57" s="6">
        <f t="shared" si="7"/>
        <v>8</v>
      </c>
      <c r="D57" s="5">
        <v>45516</v>
      </c>
      <c r="E57" s="5">
        <v>45517</v>
      </c>
      <c r="F57" s="5">
        <v>45518</v>
      </c>
      <c r="G57" s="5">
        <v>45519</v>
      </c>
      <c r="H57" s="5">
        <v>45520</v>
      </c>
      <c r="I57" s="5">
        <v>45521</v>
      </c>
      <c r="J57" s="5">
        <v>45522</v>
      </c>
      <c r="K57">
        <f t="shared" si="14"/>
        <v>33</v>
      </c>
    </row>
    <row r="58" spans="3:11" x14ac:dyDescent="0.25">
      <c r="C58" s="6">
        <f t="shared" si="7"/>
        <v>8</v>
      </c>
      <c r="D58" s="5">
        <v>45523</v>
      </c>
      <c r="E58" s="5">
        <v>45524</v>
      </c>
      <c r="F58" s="5">
        <v>45525</v>
      </c>
      <c r="G58" s="5">
        <v>45526</v>
      </c>
      <c r="H58" s="5">
        <v>45527</v>
      </c>
      <c r="I58" s="5">
        <v>45528</v>
      </c>
      <c r="J58" s="5">
        <v>45529</v>
      </c>
      <c r="K58">
        <f t="shared" si="14"/>
        <v>34</v>
      </c>
    </row>
    <row r="59" spans="3:11" x14ac:dyDescent="0.25">
      <c r="C59" s="6">
        <f t="shared" si="7"/>
        <v>8</v>
      </c>
      <c r="D59" s="5">
        <v>45530</v>
      </c>
      <c r="E59" s="5">
        <v>45531</v>
      </c>
      <c r="F59" s="5">
        <v>45532</v>
      </c>
      <c r="G59" s="5">
        <v>45533</v>
      </c>
      <c r="H59" s="5">
        <v>45534</v>
      </c>
      <c r="I59" s="5">
        <v>45535</v>
      </c>
      <c r="J59" s="5">
        <v>45536</v>
      </c>
      <c r="K59">
        <f t="shared" si="14"/>
        <v>35</v>
      </c>
    </row>
    <row r="60" spans="3:11" x14ac:dyDescent="0.25">
      <c r="C60" s="6">
        <f t="shared" si="7"/>
        <v>8</v>
      </c>
      <c r="D60" s="5">
        <v>45537</v>
      </c>
      <c r="E60" s="5">
        <v>45538</v>
      </c>
      <c r="F60" s="5">
        <v>45539</v>
      </c>
      <c r="G60" s="5">
        <v>45540</v>
      </c>
      <c r="H60" s="5">
        <v>45541</v>
      </c>
      <c r="I60" s="5">
        <v>45542</v>
      </c>
      <c r="J60" s="5">
        <v>45543</v>
      </c>
      <c r="K60">
        <f t="shared" si="14"/>
        <v>36</v>
      </c>
    </row>
    <row r="61" spans="3:11" x14ac:dyDescent="0.25">
      <c r="C61" s="6">
        <f t="shared" ref="C61:C79" si="19">C55+1</f>
        <v>9</v>
      </c>
      <c r="D61" s="7" cm="1">
        <f t="array" ref="D61:J66">_xlfn.LET(_xlpm.mStart, DATE(cal.year, C61, 1), _xlpm.wDay, WEEKDAY(_xlpm.mStart, 10+week.start), _xlfn.SEQUENCE(6,7,_xlpm.mStart-_xlpm.wDay+1))</f>
        <v>45530</v>
      </c>
      <c r="E61" s="5">
        <v>45531</v>
      </c>
      <c r="F61" s="5">
        <v>45532</v>
      </c>
      <c r="G61" s="5">
        <v>45533</v>
      </c>
      <c r="H61" s="5">
        <v>45534</v>
      </c>
      <c r="I61" s="5">
        <v>45535</v>
      </c>
      <c r="J61" s="5">
        <v>45536</v>
      </c>
      <c r="K61">
        <f t="shared" si="14"/>
        <v>35</v>
      </c>
    </row>
    <row r="62" spans="3:11" x14ac:dyDescent="0.25">
      <c r="C62" s="6">
        <f t="shared" si="18"/>
        <v>9</v>
      </c>
      <c r="D62" s="5">
        <v>45537</v>
      </c>
      <c r="E62" s="5">
        <v>45538</v>
      </c>
      <c r="F62" s="5">
        <v>45539</v>
      </c>
      <c r="G62" s="5">
        <v>45540</v>
      </c>
      <c r="H62" s="5">
        <v>45541</v>
      </c>
      <c r="I62" s="5">
        <v>45542</v>
      </c>
      <c r="J62" s="5">
        <v>45543</v>
      </c>
      <c r="K62">
        <f t="shared" si="14"/>
        <v>36</v>
      </c>
    </row>
    <row r="63" spans="3:11" x14ac:dyDescent="0.25">
      <c r="C63" s="6">
        <f t="shared" si="7"/>
        <v>9</v>
      </c>
      <c r="D63" s="5">
        <v>45544</v>
      </c>
      <c r="E63" s="5">
        <v>45545</v>
      </c>
      <c r="F63" s="5">
        <v>45546</v>
      </c>
      <c r="G63" s="5">
        <v>45547</v>
      </c>
      <c r="H63" s="5">
        <v>45548</v>
      </c>
      <c r="I63" s="5">
        <v>45549</v>
      </c>
      <c r="J63" s="5">
        <v>45550</v>
      </c>
      <c r="K63">
        <f t="shared" si="14"/>
        <v>37</v>
      </c>
    </row>
    <row r="64" spans="3:11" x14ac:dyDescent="0.25">
      <c r="C64" s="6">
        <f t="shared" si="7"/>
        <v>9</v>
      </c>
      <c r="D64" s="5">
        <v>45551</v>
      </c>
      <c r="E64" s="5">
        <v>45552</v>
      </c>
      <c r="F64" s="5">
        <v>45553</v>
      </c>
      <c r="G64" s="5">
        <v>45554</v>
      </c>
      <c r="H64" s="5">
        <v>45555</v>
      </c>
      <c r="I64" s="5">
        <v>45556</v>
      </c>
      <c r="J64" s="5">
        <v>45557</v>
      </c>
      <c r="K64">
        <f t="shared" si="14"/>
        <v>38</v>
      </c>
    </row>
    <row r="65" spans="3:11" x14ac:dyDescent="0.25">
      <c r="C65" s="6">
        <f t="shared" si="7"/>
        <v>9</v>
      </c>
      <c r="D65" s="5">
        <v>45558</v>
      </c>
      <c r="E65" s="5">
        <v>45559</v>
      </c>
      <c r="F65" s="5">
        <v>45560</v>
      </c>
      <c r="G65" s="5">
        <v>45561</v>
      </c>
      <c r="H65" s="5">
        <v>45562</v>
      </c>
      <c r="I65" s="5">
        <v>45563</v>
      </c>
      <c r="J65" s="5">
        <v>45564</v>
      </c>
      <c r="K65">
        <f t="shared" si="14"/>
        <v>39</v>
      </c>
    </row>
    <row r="66" spans="3:11" x14ac:dyDescent="0.25">
      <c r="C66" s="6">
        <f t="shared" si="7"/>
        <v>9</v>
      </c>
      <c r="D66" s="5">
        <v>45565</v>
      </c>
      <c r="E66" s="5">
        <v>45566</v>
      </c>
      <c r="F66" s="5">
        <v>45567</v>
      </c>
      <c r="G66" s="5">
        <v>45568</v>
      </c>
      <c r="H66" s="5">
        <v>45569</v>
      </c>
      <c r="I66" s="5">
        <v>45570</v>
      </c>
      <c r="J66" s="5">
        <v>45571</v>
      </c>
      <c r="K66">
        <f t="shared" si="14"/>
        <v>40</v>
      </c>
    </row>
    <row r="67" spans="3:11" x14ac:dyDescent="0.25">
      <c r="C67" s="6">
        <f t="shared" si="19"/>
        <v>10</v>
      </c>
      <c r="D67" s="7" cm="1">
        <f t="array" ref="D67:J72">_xlfn.LET(_xlpm.mStart, DATE(cal.year, C67, 1), _xlpm.wDay, WEEKDAY(_xlpm.mStart, 10+week.start), _xlfn.SEQUENCE(6,7,_xlpm.mStart-_xlpm.wDay+1))</f>
        <v>45565</v>
      </c>
      <c r="E67" s="5">
        <v>45566</v>
      </c>
      <c r="F67" s="5">
        <v>45567</v>
      </c>
      <c r="G67" s="5">
        <v>45568</v>
      </c>
      <c r="H67" s="5">
        <v>45569</v>
      </c>
      <c r="I67" s="5">
        <v>45570</v>
      </c>
      <c r="J67" s="5">
        <v>45571</v>
      </c>
      <c r="K67">
        <f t="shared" si="14"/>
        <v>40</v>
      </c>
    </row>
    <row r="68" spans="3:11" x14ac:dyDescent="0.25">
      <c r="C68" s="6">
        <f t="shared" si="18"/>
        <v>10</v>
      </c>
      <c r="D68" s="5">
        <v>45572</v>
      </c>
      <c r="E68" s="5">
        <v>45573</v>
      </c>
      <c r="F68" s="5">
        <v>45574</v>
      </c>
      <c r="G68" s="5">
        <v>45575</v>
      </c>
      <c r="H68" s="5">
        <v>45576</v>
      </c>
      <c r="I68" s="5">
        <v>45577</v>
      </c>
      <c r="J68" s="5">
        <v>45578</v>
      </c>
      <c r="K68">
        <f t="shared" si="14"/>
        <v>41</v>
      </c>
    </row>
    <row r="69" spans="3:11" x14ac:dyDescent="0.25">
      <c r="C69" s="6">
        <f t="shared" si="7"/>
        <v>10</v>
      </c>
      <c r="D69" s="5">
        <v>45579</v>
      </c>
      <c r="E69" s="5">
        <v>45580</v>
      </c>
      <c r="F69" s="5">
        <v>45581</v>
      </c>
      <c r="G69" s="5">
        <v>45582</v>
      </c>
      <c r="H69" s="5">
        <v>45583</v>
      </c>
      <c r="I69" s="5">
        <v>45584</v>
      </c>
      <c r="J69" s="5">
        <v>45585</v>
      </c>
      <c r="K69">
        <f t="shared" si="14"/>
        <v>42</v>
      </c>
    </row>
    <row r="70" spans="3:11" x14ac:dyDescent="0.25">
      <c r="C70" s="6">
        <f t="shared" si="7"/>
        <v>10</v>
      </c>
      <c r="D70" s="5">
        <v>45586</v>
      </c>
      <c r="E70" s="5">
        <v>45587</v>
      </c>
      <c r="F70" s="5">
        <v>45588</v>
      </c>
      <c r="G70" s="5">
        <v>45589</v>
      </c>
      <c r="H70" s="5">
        <v>45590</v>
      </c>
      <c r="I70" s="5">
        <v>45591</v>
      </c>
      <c r="J70" s="5">
        <v>45592</v>
      </c>
      <c r="K70">
        <f t="shared" si="14"/>
        <v>43</v>
      </c>
    </row>
    <row r="71" spans="3:11" x14ac:dyDescent="0.25">
      <c r="C71" s="6">
        <f t="shared" si="7"/>
        <v>10</v>
      </c>
      <c r="D71" s="5">
        <v>45593</v>
      </c>
      <c r="E71" s="5">
        <v>45594</v>
      </c>
      <c r="F71" s="5">
        <v>45595</v>
      </c>
      <c r="G71" s="5">
        <v>45596</v>
      </c>
      <c r="H71" s="5">
        <v>45597</v>
      </c>
      <c r="I71" s="5">
        <v>45598</v>
      </c>
      <c r="J71" s="5">
        <v>45599</v>
      </c>
      <c r="K71">
        <f t="shared" si="14"/>
        <v>44</v>
      </c>
    </row>
    <row r="72" spans="3:11" x14ac:dyDescent="0.25">
      <c r="C72" s="6">
        <f t="shared" si="7"/>
        <v>10</v>
      </c>
      <c r="D72" s="5">
        <v>45600</v>
      </c>
      <c r="E72" s="5">
        <v>45601</v>
      </c>
      <c r="F72" s="5">
        <v>45602</v>
      </c>
      <c r="G72" s="5">
        <v>45603</v>
      </c>
      <c r="H72" s="5">
        <v>45604</v>
      </c>
      <c r="I72" s="5">
        <v>45605</v>
      </c>
      <c r="J72" s="5">
        <v>45606</v>
      </c>
      <c r="K72">
        <f t="shared" si="14"/>
        <v>45</v>
      </c>
    </row>
    <row r="73" spans="3:11" x14ac:dyDescent="0.25">
      <c r="C73" s="6">
        <f t="shared" si="19"/>
        <v>11</v>
      </c>
      <c r="D73" s="7" cm="1">
        <f t="array" ref="D73:J78">_xlfn.LET(_xlpm.mStart, DATE(cal.year, C73, 1), _xlpm.wDay, WEEKDAY(_xlpm.mStart, 10+week.start), _xlfn.SEQUENCE(6,7,_xlpm.mStart-_xlpm.wDay+1))</f>
        <v>45593</v>
      </c>
      <c r="E73" s="5">
        <v>45594</v>
      </c>
      <c r="F73" s="5">
        <v>45595</v>
      </c>
      <c r="G73" s="5">
        <v>45596</v>
      </c>
      <c r="H73" s="5">
        <v>45597</v>
      </c>
      <c r="I73" s="5">
        <v>45598</v>
      </c>
      <c r="J73" s="5">
        <v>45599</v>
      </c>
      <c r="K73">
        <f t="shared" si="14"/>
        <v>44</v>
      </c>
    </row>
    <row r="74" spans="3:11" x14ac:dyDescent="0.25">
      <c r="C74" s="6">
        <f t="shared" si="18"/>
        <v>11</v>
      </c>
      <c r="D74" s="5">
        <v>45600</v>
      </c>
      <c r="E74" s="5">
        <v>45601</v>
      </c>
      <c r="F74" s="5">
        <v>45602</v>
      </c>
      <c r="G74" s="5">
        <v>45603</v>
      </c>
      <c r="H74" s="5">
        <v>45604</v>
      </c>
      <c r="I74" s="5">
        <v>45605</v>
      </c>
      <c r="J74" s="5">
        <v>45606</v>
      </c>
      <c r="K74">
        <f t="shared" si="14"/>
        <v>45</v>
      </c>
    </row>
    <row r="75" spans="3:11" x14ac:dyDescent="0.25">
      <c r="C75" s="6">
        <f t="shared" si="7"/>
        <v>11</v>
      </c>
      <c r="D75" s="5">
        <v>45607</v>
      </c>
      <c r="E75" s="5">
        <v>45608</v>
      </c>
      <c r="F75" s="5">
        <v>45609</v>
      </c>
      <c r="G75" s="5">
        <v>45610</v>
      </c>
      <c r="H75" s="5">
        <v>45611</v>
      </c>
      <c r="I75" s="5">
        <v>45612</v>
      </c>
      <c r="J75" s="5">
        <v>45613</v>
      </c>
      <c r="K75">
        <f t="shared" si="14"/>
        <v>46</v>
      </c>
    </row>
    <row r="76" spans="3:11" x14ac:dyDescent="0.25">
      <c r="C76" s="6">
        <f t="shared" si="7"/>
        <v>11</v>
      </c>
      <c r="D76" s="5">
        <v>45614</v>
      </c>
      <c r="E76" s="5">
        <v>45615</v>
      </c>
      <c r="F76" s="5">
        <v>45616</v>
      </c>
      <c r="G76" s="5">
        <v>45617</v>
      </c>
      <c r="H76" s="5">
        <v>45618</v>
      </c>
      <c r="I76" s="5">
        <v>45619</v>
      </c>
      <c r="J76" s="5">
        <v>45620</v>
      </c>
      <c r="K76">
        <f t="shared" si="14"/>
        <v>47</v>
      </c>
    </row>
    <row r="77" spans="3:11" x14ac:dyDescent="0.25">
      <c r="C77" s="6">
        <f t="shared" si="7"/>
        <v>11</v>
      </c>
      <c r="D77" s="5">
        <v>45621</v>
      </c>
      <c r="E77" s="5">
        <v>45622</v>
      </c>
      <c r="F77" s="5">
        <v>45623</v>
      </c>
      <c r="G77" s="5">
        <v>45624</v>
      </c>
      <c r="H77" s="5">
        <v>45625</v>
      </c>
      <c r="I77" s="5">
        <v>45626</v>
      </c>
      <c r="J77" s="5">
        <v>45627</v>
      </c>
      <c r="K77">
        <f t="shared" ref="K77:K84" si="20">WEEKNUM(D77,10+week.start)</f>
        <v>48</v>
      </c>
    </row>
    <row r="78" spans="3:11" x14ac:dyDescent="0.25">
      <c r="C78" s="6">
        <f t="shared" si="7"/>
        <v>11</v>
      </c>
      <c r="D78" s="5">
        <v>45628</v>
      </c>
      <c r="E78" s="5">
        <v>45629</v>
      </c>
      <c r="F78" s="5">
        <v>45630</v>
      </c>
      <c r="G78" s="5">
        <v>45631</v>
      </c>
      <c r="H78" s="5">
        <v>45632</v>
      </c>
      <c r="I78" s="5">
        <v>45633</v>
      </c>
      <c r="J78" s="5">
        <v>45634</v>
      </c>
      <c r="K78">
        <f t="shared" si="20"/>
        <v>49</v>
      </c>
    </row>
    <row r="79" spans="3:11" x14ac:dyDescent="0.25">
      <c r="C79" s="6">
        <f t="shared" si="19"/>
        <v>12</v>
      </c>
      <c r="D79" s="7" cm="1">
        <f t="array" ref="D79:J84">_xlfn.LET(_xlpm.mStart, DATE(cal.year, C79, 1), _xlpm.wDay, WEEKDAY(_xlpm.mStart, 10+week.start), _xlfn.SEQUENCE(6,7,_xlpm.mStart-_xlpm.wDay+1))</f>
        <v>45621</v>
      </c>
      <c r="E79" s="5">
        <v>45622</v>
      </c>
      <c r="F79" s="5">
        <v>45623</v>
      </c>
      <c r="G79" s="5">
        <v>45624</v>
      </c>
      <c r="H79" s="5">
        <v>45625</v>
      </c>
      <c r="I79" s="5">
        <v>45626</v>
      </c>
      <c r="J79" s="5">
        <v>45627</v>
      </c>
      <c r="K79">
        <f t="shared" si="20"/>
        <v>48</v>
      </c>
    </row>
    <row r="80" spans="3:11" x14ac:dyDescent="0.25">
      <c r="C80" s="6">
        <f t="shared" ref="C80:C84" si="21">C79</f>
        <v>12</v>
      </c>
      <c r="D80" s="5">
        <v>45628</v>
      </c>
      <c r="E80" s="5">
        <v>45629</v>
      </c>
      <c r="F80" s="5">
        <v>45630</v>
      </c>
      <c r="G80" s="5">
        <v>45631</v>
      </c>
      <c r="H80" s="5">
        <v>45632</v>
      </c>
      <c r="I80" s="5">
        <v>45633</v>
      </c>
      <c r="J80" s="5">
        <v>45634</v>
      </c>
      <c r="K80">
        <f t="shared" si="20"/>
        <v>49</v>
      </c>
    </row>
    <row r="81" spans="3:11" x14ac:dyDescent="0.25">
      <c r="C81" s="6">
        <f t="shared" si="21"/>
        <v>12</v>
      </c>
      <c r="D81" s="5">
        <v>45635</v>
      </c>
      <c r="E81" s="5">
        <v>45636</v>
      </c>
      <c r="F81" s="5">
        <v>45637</v>
      </c>
      <c r="G81" s="5">
        <v>45638</v>
      </c>
      <c r="H81" s="5">
        <v>45639</v>
      </c>
      <c r="I81" s="5">
        <v>45640</v>
      </c>
      <c r="J81" s="5">
        <v>45641</v>
      </c>
      <c r="K81">
        <f t="shared" si="20"/>
        <v>50</v>
      </c>
    </row>
    <row r="82" spans="3:11" x14ac:dyDescent="0.25">
      <c r="C82" s="6">
        <f t="shared" si="21"/>
        <v>12</v>
      </c>
      <c r="D82" s="5">
        <v>45642</v>
      </c>
      <c r="E82" s="5">
        <v>45643</v>
      </c>
      <c r="F82" s="5">
        <v>45644</v>
      </c>
      <c r="G82" s="5">
        <v>45645</v>
      </c>
      <c r="H82" s="5">
        <v>45646</v>
      </c>
      <c r="I82" s="5">
        <v>45647</v>
      </c>
      <c r="J82" s="5">
        <v>45648</v>
      </c>
      <c r="K82">
        <f t="shared" si="20"/>
        <v>51</v>
      </c>
    </row>
    <row r="83" spans="3:11" x14ac:dyDescent="0.25">
      <c r="C83" s="6">
        <f t="shared" si="21"/>
        <v>12</v>
      </c>
      <c r="D83" s="5">
        <v>45649</v>
      </c>
      <c r="E83" s="5">
        <v>45650</v>
      </c>
      <c r="F83" s="5">
        <v>45651</v>
      </c>
      <c r="G83" s="5">
        <v>45652</v>
      </c>
      <c r="H83" s="5">
        <v>45653</v>
      </c>
      <c r="I83" s="5">
        <v>45654</v>
      </c>
      <c r="J83" s="5">
        <v>45655</v>
      </c>
      <c r="K83">
        <f t="shared" si="20"/>
        <v>52</v>
      </c>
    </row>
    <row r="84" spans="3:11" x14ac:dyDescent="0.25">
      <c r="C84" s="6">
        <f t="shared" si="21"/>
        <v>12</v>
      </c>
      <c r="D84" s="5">
        <v>45656</v>
      </c>
      <c r="E84" s="5">
        <v>45657</v>
      </c>
      <c r="F84" s="5">
        <v>45658</v>
      </c>
      <c r="G84" s="5">
        <v>45659</v>
      </c>
      <c r="H84" s="5">
        <v>45660</v>
      </c>
      <c r="I84" s="5">
        <v>45661</v>
      </c>
      <c r="J84" s="5">
        <v>45662</v>
      </c>
      <c r="K84">
        <f t="shared" si="20"/>
        <v>53</v>
      </c>
    </row>
    <row r="85" spans="3:11" x14ac:dyDescent="0.25">
      <c r="C85" s="6"/>
    </row>
    <row r="86" spans="3:11" x14ac:dyDescent="0.25">
      <c r="C86" s="6"/>
    </row>
    <row r="87" spans="3:11" x14ac:dyDescent="0.25">
      <c r="C87" s="6"/>
    </row>
    <row r="88" spans="3:11" x14ac:dyDescent="0.25">
      <c r="C88" s="6"/>
    </row>
    <row r="89" spans="3:11" x14ac:dyDescent="0.25">
      <c r="C89" s="6"/>
    </row>
    <row r="90" spans="3:11" x14ac:dyDescent="0.25">
      <c r="C90" s="6"/>
    </row>
    <row r="91" spans="3:11" x14ac:dyDescent="0.25">
      <c r="C91" s="6"/>
    </row>
    <row r="92" spans="3:11" x14ac:dyDescent="0.25">
      <c r="C92" s="6"/>
    </row>
  </sheetData>
  <phoneticPr fontId="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Calendar</vt:lpstr>
      <vt:lpstr>Any Month</vt:lpstr>
      <vt:lpstr>Planner</vt:lpstr>
      <vt:lpstr>Customizations</vt:lpstr>
      <vt:lpstr>Calc</vt:lpstr>
      <vt:lpstr>cal.year</vt:lpstr>
      <vt:lpstr>holiday_dates</vt:lpstr>
      <vt:lpstr>icon_types</vt:lpstr>
      <vt:lpstr>month.nums</vt:lpstr>
      <vt:lpstr>monthly.calendar</vt:lpstr>
      <vt:lpstr>planner_dates</vt:lpstr>
      <vt:lpstr>'Any Month'!Print_Area</vt:lpstr>
      <vt:lpstr>Calendar!Print_Area</vt:lpstr>
      <vt:lpstr>show.planner</vt:lpstr>
      <vt:lpstr>week.start</vt:lpstr>
      <vt:lpstr>weekend.type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Chandoo ORG</cp:lastModifiedBy>
  <cp:lastPrinted>2022-12-27T14:04:04Z</cp:lastPrinted>
  <dcterms:created xsi:type="dcterms:W3CDTF">2021-03-14T20:21:32Z</dcterms:created>
  <dcterms:modified xsi:type="dcterms:W3CDTF">2024-01-23T04:46:35Z</dcterms:modified>
</cp:coreProperties>
</file>